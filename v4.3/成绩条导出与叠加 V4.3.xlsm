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6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261\Desktop\"/>
    </mc:Choice>
  </mc:AlternateContent>
  <xr:revisionPtr revIDLastSave="0" documentId="13_ncr:1_{F7D0B615-E47E-4223-8FC1-CF442FA31624}" xr6:coauthVersionLast="45" xr6:coauthVersionMax="45" xr10:uidLastSave="{00000000-0000-0000-0000-000000000000}"/>
  <bookViews>
    <workbookView xWindow="-96" yWindow="-96" windowWidth="23232" windowHeight="12552" activeTab="1" xr2:uid="{93B60B92-88B5-4069-B646-A36B28750028}"/>
  </bookViews>
  <sheets>
    <sheet name="导入数据" sheetId="1" r:id="rId1"/>
    <sheet name="控制面板" sheetId="3" r:id="rId2"/>
    <sheet name="缓存" sheetId="6" r:id="rId3"/>
    <sheet name="成绩条" sheetId="30" r:id="rId4"/>
  </sheets>
  <definedNames>
    <definedName name="_xlnm.Print_Area" localSheetId="3">成绩条!$C:$AE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3" l="1"/>
  <c r="C13" i="3"/>
  <c r="C12" i="3"/>
  <c r="C15" i="3"/>
</calcChain>
</file>

<file path=xl/sharedStrings.xml><?xml version="1.0" encoding="utf-8"?>
<sst xmlns="http://schemas.openxmlformats.org/spreadsheetml/2006/main" count="2470" uniqueCount="87">
  <si>
    <t>学号</t>
  </si>
  <si>
    <t>语文</t>
  </si>
  <si>
    <t>数学</t>
  </si>
  <si>
    <t>英语</t>
  </si>
  <si>
    <t>物理</t>
  </si>
  <si>
    <t>化学</t>
  </si>
  <si>
    <t>生物</t>
  </si>
  <si>
    <t>三主科</t>
  </si>
  <si>
    <t>理综</t>
  </si>
  <si>
    <t>成绩</t>
    <phoneticPr fontId="1" type="noConversion"/>
  </si>
  <si>
    <t>班排</t>
    <phoneticPr fontId="1" type="noConversion"/>
  </si>
  <si>
    <t>年排</t>
    <phoneticPr fontId="1" type="noConversion"/>
  </si>
  <si>
    <t>总分</t>
    <phoneticPr fontId="2" type="noConversion"/>
  </si>
  <si>
    <t>班排</t>
    <phoneticPr fontId="2" type="noConversion"/>
  </si>
  <si>
    <t>学生1</t>
    <phoneticPr fontId="1" type="noConversion"/>
  </si>
  <si>
    <t>学生2</t>
  </si>
  <si>
    <t>学生3</t>
  </si>
  <si>
    <t>学生4</t>
  </si>
  <si>
    <t>学生5</t>
  </si>
  <si>
    <t>学生6</t>
  </si>
  <si>
    <t>学生7</t>
  </si>
  <si>
    <t>学生8</t>
  </si>
  <si>
    <t>学生9</t>
  </si>
  <si>
    <t>学生10</t>
  </si>
  <si>
    <t>学生11</t>
  </si>
  <si>
    <t>学生12</t>
  </si>
  <si>
    <t>学生13</t>
  </si>
  <si>
    <t>学生14</t>
  </si>
  <si>
    <t>学生15</t>
  </si>
  <si>
    <t>学生16</t>
  </si>
  <si>
    <t>学生17</t>
  </si>
  <si>
    <t>学生18</t>
  </si>
  <si>
    <t>学生19</t>
  </si>
  <si>
    <t>学生20</t>
  </si>
  <si>
    <t>学生21</t>
  </si>
  <si>
    <t>学生22</t>
  </si>
  <si>
    <t>学生23</t>
  </si>
  <si>
    <t>学生24</t>
  </si>
  <si>
    <t>学生25</t>
  </si>
  <si>
    <t>学生26</t>
  </si>
  <si>
    <t>学生27</t>
  </si>
  <si>
    <t>学生28</t>
  </si>
  <si>
    <t>学生29</t>
  </si>
  <si>
    <t>学生30</t>
  </si>
  <si>
    <t>学生31</t>
  </si>
  <si>
    <t>学生32</t>
  </si>
  <si>
    <t>学生33</t>
  </si>
  <si>
    <t>学生34</t>
  </si>
  <si>
    <t>学生35</t>
  </si>
  <si>
    <t>学生36</t>
  </si>
  <si>
    <t>学生37</t>
  </si>
  <si>
    <t>学生38</t>
  </si>
  <si>
    <t>学生39</t>
  </si>
  <si>
    <t>学生40</t>
  </si>
  <si>
    <t>学生41</t>
  </si>
  <si>
    <t>学生42</t>
  </si>
  <si>
    <t>学生43</t>
  </si>
  <si>
    <t>学生44</t>
  </si>
  <si>
    <t>学生45</t>
  </si>
  <si>
    <t>学生46</t>
  </si>
  <si>
    <t>学生47</t>
  </si>
  <si>
    <t>学生48</t>
  </si>
  <si>
    <t>学生49</t>
  </si>
  <si>
    <t>学生50</t>
  </si>
  <si>
    <t>学生51</t>
  </si>
  <si>
    <t>学生52</t>
  </si>
  <si>
    <t>学生53</t>
  </si>
  <si>
    <t>学生54</t>
  </si>
  <si>
    <t>学生55</t>
  </si>
  <si>
    <t>学生56</t>
  </si>
  <si>
    <t>学生57</t>
  </si>
  <si>
    <t>学生58</t>
  </si>
  <si>
    <t>学生59</t>
  </si>
  <si>
    <t>姓名</t>
    <phoneticPr fontId="1" type="noConversion"/>
  </si>
  <si>
    <t>表头行数</t>
    <phoneticPr fontId="1" type="noConversion"/>
  </si>
  <si>
    <t>总分</t>
    <phoneticPr fontId="1" type="noConversion"/>
  </si>
  <si>
    <t>写入次数</t>
    <phoneticPr fontId="1" type="noConversion"/>
  </si>
  <si>
    <t>导入行数</t>
    <phoneticPr fontId="1" type="noConversion"/>
  </si>
  <si>
    <t>导入列数</t>
    <phoneticPr fontId="1" type="noConversion"/>
  </si>
  <si>
    <t>输入参数</t>
    <phoneticPr fontId="1" type="noConversion"/>
  </si>
  <si>
    <t>数据条数</t>
    <phoneticPr fontId="1" type="noConversion"/>
  </si>
  <si>
    <t>A</t>
  </si>
  <si>
    <t>导入检测</t>
    <phoneticPr fontId="1" type="noConversion"/>
  </si>
  <si>
    <t>输出检测</t>
    <phoneticPr fontId="1" type="noConversion"/>
  </si>
  <si>
    <t>输出列数</t>
    <phoneticPr fontId="1" type="noConversion"/>
  </si>
  <si>
    <t>E</t>
  </si>
  <si>
    <r>
      <t>首次使用方法：
1.首次使用将学生成绩单导入到“导入数据”工作表中。
2.在“控制面板”工作表中的“表头行数”选项中填入刚刚导入表格的表头行数。
3.点击</t>
    </r>
    <r>
      <rPr>
        <b/>
        <sz val="12"/>
        <color theme="9"/>
        <rFont val="等线"/>
        <family val="3"/>
        <charset val="134"/>
        <scheme val="minor"/>
      </rPr>
      <t>绿色</t>
    </r>
    <r>
      <rPr>
        <sz val="12"/>
        <color theme="1"/>
        <rFont val="等线"/>
        <family val="3"/>
        <charset val="134"/>
        <scheme val="minor"/>
      </rPr>
      <t>按钮，系统会开始检测您导入的数据。请仔细</t>
    </r>
    <r>
      <rPr>
        <b/>
        <sz val="12"/>
        <color rgb="FFFF0000"/>
        <rFont val="等线"/>
        <family val="3"/>
        <charset val="134"/>
        <scheme val="minor"/>
      </rPr>
      <t>核对</t>
    </r>
    <r>
      <rPr>
        <sz val="12"/>
        <color theme="1"/>
        <rFont val="等线"/>
        <family val="3"/>
        <charset val="134"/>
        <scheme val="minor"/>
      </rPr>
      <t>“导入行数”、“导入列数”、“数据条数”是否正确，如果不正确，请手动手动输入。
4.如果制作单次成绩条，点击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按钮，即可完成制作
5.制作完成后系统会自动保存，您也可以把“成绩条”工作表进行备份，方便下次进行叠加。
多次叠加方法（表头必须一致）：
1.如果上一次制作的成绩条还保存在该工作表中，可在导入新数据之后，直接点击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按钮即可。
2.如果您把上一次制作的成绩条额外多出的话，请原封不动把整个工作表原封不动的放入该工作簿，并把该工作表命名为”成绩条“，导入新数据之后，点击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按钮即可。
温馨提示：
1.请使用Microsoft Office 2013及以上版本的电子表格程序打开此表格。
2.推荐使用订阅版的Microsoft office 365运行此表格。
3.任意版本的金山WPS软件或者其他公司出品的办公软件无法运行此程序，请您谅解。
4.在使用前请打开宏，你可以每次打开此表格后在工具栏下的“安全警告”中点击“启用内容”来打开宏，或者一次性在“文件”=&gt;“选项”=&gt;“信任中心”=&gt;"信任中心设置"=&gt;“宏设置”中把宏设置为启用。
异常处理：
1.您再次使用使用该程序导出单次成绩条时，如果因为表头行数与上一次相同，而不修改”表头行数“选项，在导入新数据后，请先点击</t>
    </r>
    <r>
      <rPr>
        <b/>
        <sz val="12"/>
        <color theme="4"/>
        <rFont val="等线"/>
        <family val="3"/>
        <charset val="134"/>
        <scheme val="minor"/>
      </rPr>
      <t>蓝色</t>
    </r>
    <r>
      <rPr>
        <sz val="12"/>
        <color theme="1"/>
        <rFont val="等线"/>
        <family val="3"/>
        <charset val="134"/>
        <scheme val="minor"/>
      </rPr>
      <t>按钮。
2.如果程序异常，请点击</t>
    </r>
    <r>
      <rPr>
        <b/>
        <sz val="12"/>
        <color theme="4"/>
        <rFont val="等线"/>
        <family val="3"/>
        <charset val="134"/>
        <scheme val="minor"/>
      </rPr>
      <t>蓝色</t>
    </r>
    <r>
      <rPr>
        <sz val="12"/>
        <color theme="1"/>
        <rFont val="等线"/>
        <family val="3"/>
        <charset val="134"/>
        <scheme val="minor"/>
      </rPr>
      <t>按钮重置系统。
额外说明：
1.导出的成绩条中，含有表头位置、表头长宽、写入次数等标记（A列、B列、1行），如果需要进行多次叠加，请</t>
    </r>
    <r>
      <rPr>
        <b/>
        <sz val="12"/>
        <color rgb="FFFF0000"/>
        <rFont val="等线"/>
        <family val="3"/>
        <charset val="134"/>
        <scheme val="minor"/>
      </rPr>
      <t>不要删除</t>
    </r>
    <r>
      <rPr>
        <sz val="12"/>
        <color theme="1"/>
        <rFont val="等线"/>
        <family val="3"/>
        <charset val="134"/>
        <scheme val="minor"/>
      </rPr>
      <t>这些标记，否则将导致程序异常。
2.一个工作表最多包含</t>
    </r>
    <r>
      <rPr>
        <b/>
        <sz val="12"/>
        <color rgb="FFFF0000"/>
        <rFont val="等线"/>
        <family val="3"/>
        <charset val="134"/>
        <scheme val="minor"/>
      </rPr>
      <t>1048576</t>
    </r>
    <r>
      <rPr>
        <sz val="12"/>
        <color theme="1"/>
        <rFont val="等线"/>
        <family val="3"/>
        <charset val="134"/>
        <scheme val="minor"/>
      </rPr>
      <t>行，最终导出的成绩条工作表行数=(表头行数+写入次数+1)×数据行数，请自行计算所需行数，以免发生</t>
    </r>
    <r>
      <rPr>
        <b/>
        <sz val="12"/>
        <color rgb="FFFF0000"/>
        <rFont val="等线"/>
        <family val="3"/>
        <charset val="134"/>
        <scheme val="minor"/>
      </rPr>
      <t>溢出</t>
    </r>
    <r>
      <rPr>
        <sz val="12"/>
        <color theme="1"/>
        <rFont val="等线"/>
        <family val="3"/>
        <charset val="134"/>
        <scheme val="minor"/>
      </rPr>
      <t>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</si>
</sst>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0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2"/>
      <color rgb="FFFF0000"/>
      <name val="等线"/>
      <family val="3"/>
      <charset val="134"/>
      <scheme val="minor"/>
    </font>
    <font>
      <b/>
      <sz val="12"/>
      <color theme="5"/>
      <name val="等线"/>
      <family val="3"/>
      <charset val="134"/>
      <scheme val="minor"/>
    </font>
    <font>
      <b/>
      <sz val="12"/>
      <color theme="4"/>
      <name val="等线"/>
      <family val="3"/>
      <charset val="134"/>
      <scheme val="minor"/>
    </font>
    <font>
      <b/>
      <sz val="12"/>
      <color theme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 wrapText="1"/>
    </xf>
    <xf numFmtId="176" fontId="5" fillId="0" borderId="3" xfId="0" applyNumberFormat="1" applyFont="1" applyBorder="1" applyAlignment="1">
      <alignment horizontal="center" vertical="center" wrapText="1"/>
    </xf>
    <xf numFmtId="176" fontId="5" fillId="0" borderId="4" xfId="0" applyNumberFormat="1" applyFont="1" applyBorder="1" applyAlignment="1">
      <alignment horizontal="center" vertical="center" wrapText="1"/>
    </xf>
    <xf numFmtId="176" fontId="6" fillId="0" borderId="2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 wrapText="1"/>
    </xf>
    <xf numFmtId="49" fontId="5" fillId="0" borderId="6" xfId="0" applyNumberFormat="1" applyFont="1" applyBorder="1" applyAlignment="1">
      <alignment horizontal="center" vertical="center" wrapText="1"/>
    </xf>
    <xf numFmtId="177" fontId="5" fillId="0" borderId="5" xfId="0" applyNumberFormat="1" applyFont="1" applyBorder="1" applyAlignment="1">
      <alignment horizontal="center" vertical="center" wrapText="1"/>
    </xf>
    <xf numFmtId="177" fontId="5" fillId="0" borderId="6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156210</xdr:rowOff>
    </xdr:from>
    <xdr:to>
      <xdr:col>3</xdr:col>
      <xdr:colOff>0</xdr:colOff>
      <xdr:row>27</xdr:row>
      <xdr:rowOff>156210</xdr:rowOff>
    </xdr:to>
    <xdr:sp macro="[0]!系统重置" textlink="">
      <xdr:nvSpPr>
        <xdr:cNvPr id="2" name="矩形: 圆角 1">
          <a:extLst>
            <a:ext uri="{FF2B5EF4-FFF2-40B4-BE49-F238E27FC236}">
              <a16:creationId xmlns:a16="http://schemas.microsoft.com/office/drawing/2014/main" id="{AB69B743-B618-4F97-AD1F-19887C8841A4}"/>
            </a:ext>
          </a:extLst>
        </xdr:cNvPr>
        <xdr:cNvSpPr/>
      </xdr:nvSpPr>
      <xdr:spPr>
        <a:xfrm>
          <a:off x="670560" y="4453890"/>
          <a:ext cx="1341120" cy="5372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1"/>
            <a:t>系统重置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3</xdr:col>
      <xdr:colOff>0</xdr:colOff>
      <xdr:row>24</xdr:row>
      <xdr:rowOff>0</xdr:rowOff>
    </xdr:to>
    <xdr:sp macro="[0]!宏" textlink="">
      <xdr:nvSpPr>
        <xdr:cNvPr id="3" name="矩形: 圆角 2">
          <a:extLst>
            <a:ext uri="{FF2B5EF4-FFF2-40B4-BE49-F238E27FC236}">
              <a16:creationId xmlns:a16="http://schemas.microsoft.com/office/drawing/2014/main" id="{53AE3B6A-2871-4370-B2CE-992B941AF7DE}"/>
            </a:ext>
          </a:extLst>
        </xdr:cNvPr>
        <xdr:cNvSpPr/>
      </xdr:nvSpPr>
      <xdr:spPr>
        <a:xfrm>
          <a:off x="670560" y="3760470"/>
          <a:ext cx="1341120" cy="53721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1"/>
            <a:t>写入数据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3</xdr:col>
      <xdr:colOff>0</xdr:colOff>
      <xdr:row>20</xdr:row>
      <xdr:rowOff>0</xdr:rowOff>
    </xdr:to>
    <xdr:sp macro="[0]!表格检测" textlink="">
      <xdr:nvSpPr>
        <xdr:cNvPr id="4" name="矩形: 圆角 3">
          <a:extLst>
            <a:ext uri="{FF2B5EF4-FFF2-40B4-BE49-F238E27FC236}">
              <a16:creationId xmlns:a16="http://schemas.microsoft.com/office/drawing/2014/main" id="{FABD6164-7D4C-48E8-A7E9-4E63656C4ECE}"/>
            </a:ext>
          </a:extLst>
        </xdr:cNvPr>
        <xdr:cNvSpPr/>
      </xdr:nvSpPr>
      <xdr:spPr>
        <a:xfrm>
          <a:off x="670560" y="3044190"/>
          <a:ext cx="1341120" cy="53721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1"/>
            <a:t>表格检测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BE41B-233A-4874-A0D1-BD00C3E9FD3F}">
  <sheetPr codeName="Sheet1"/>
  <dimension ref="A1:AC61"/>
  <sheetViews>
    <sheetView workbookViewId="0">
      <selection sqref="A1:A2"/>
    </sheetView>
  </sheetViews>
  <sheetFormatPr defaultRowHeight="12.6" x14ac:dyDescent="0.5"/>
  <cols>
    <col min="1" max="1" width="8.546875" style="5" customWidth="1"/>
    <col min="2" max="2" width="4.546875" style="6" customWidth="1"/>
    <col min="3" max="29" width="4.546875" style="7" customWidth="1"/>
    <col min="30" max="16384" width="8.796875" style="1"/>
  </cols>
  <sheetData>
    <row r="1" spans="1:29" x14ac:dyDescent="0.5">
      <c r="A1" s="20" t="s">
        <v>73</v>
      </c>
      <c r="B1" s="22" t="s">
        <v>0</v>
      </c>
      <c r="C1" s="14" t="s">
        <v>1</v>
      </c>
      <c r="D1" s="15"/>
      <c r="E1" s="16"/>
      <c r="F1" s="14" t="s">
        <v>2</v>
      </c>
      <c r="G1" s="15"/>
      <c r="H1" s="16"/>
      <c r="I1" s="14" t="s">
        <v>3</v>
      </c>
      <c r="J1" s="15"/>
      <c r="K1" s="16"/>
      <c r="L1" s="14" t="s">
        <v>4</v>
      </c>
      <c r="M1" s="15"/>
      <c r="N1" s="16"/>
      <c r="O1" s="14" t="s">
        <v>5</v>
      </c>
      <c r="P1" s="15"/>
      <c r="Q1" s="16"/>
      <c r="R1" s="14" t="s">
        <v>6</v>
      </c>
      <c r="S1" s="15"/>
      <c r="T1" s="16"/>
      <c r="U1" s="14" t="s">
        <v>7</v>
      </c>
      <c r="V1" s="15"/>
      <c r="W1" s="16"/>
      <c r="X1" s="14" t="s">
        <v>8</v>
      </c>
      <c r="Y1" s="15"/>
      <c r="Z1" s="16"/>
      <c r="AA1" s="17" t="s">
        <v>75</v>
      </c>
      <c r="AB1" s="18"/>
      <c r="AC1" s="19"/>
    </row>
    <row r="2" spans="1:29" ht="15" customHeight="1" x14ac:dyDescent="0.5">
      <c r="A2" s="21"/>
      <c r="B2" s="23"/>
      <c r="C2" s="8" t="s">
        <v>9</v>
      </c>
      <c r="D2" s="8" t="s">
        <v>10</v>
      </c>
      <c r="E2" s="8" t="s">
        <v>11</v>
      </c>
      <c r="F2" s="8" t="s">
        <v>9</v>
      </c>
      <c r="G2" s="8" t="s">
        <v>10</v>
      </c>
      <c r="H2" s="8" t="s">
        <v>11</v>
      </c>
      <c r="I2" s="8" t="s">
        <v>9</v>
      </c>
      <c r="J2" s="8" t="s">
        <v>10</v>
      </c>
      <c r="K2" s="8" t="s">
        <v>11</v>
      </c>
      <c r="L2" s="8" t="s">
        <v>9</v>
      </c>
      <c r="M2" s="8" t="s">
        <v>10</v>
      </c>
      <c r="N2" s="8" t="s">
        <v>11</v>
      </c>
      <c r="O2" s="8" t="s">
        <v>9</v>
      </c>
      <c r="P2" s="8" t="s">
        <v>10</v>
      </c>
      <c r="Q2" s="8" t="s">
        <v>11</v>
      </c>
      <c r="R2" s="8" t="s">
        <v>9</v>
      </c>
      <c r="S2" s="8" t="s">
        <v>10</v>
      </c>
      <c r="T2" s="8" t="s">
        <v>11</v>
      </c>
      <c r="U2" s="8" t="s">
        <v>9</v>
      </c>
      <c r="V2" s="8" t="s">
        <v>10</v>
      </c>
      <c r="W2" s="8" t="s">
        <v>11</v>
      </c>
      <c r="X2" s="8" t="s">
        <v>9</v>
      </c>
      <c r="Y2" s="8" t="s">
        <v>10</v>
      </c>
      <c r="Z2" s="8" t="s">
        <v>11</v>
      </c>
      <c r="AA2" s="8" t="s">
        <v>12</v>
      </c>
      <c r="AB2" s="8" t="s">
        <v>13</v>
      </c>
      <c r="AC2" s="9" t="s">
        <v>11</v>
      </c>
    </row>
    <row r="3" spans="1:29" x14ac:dyDescent="0.5">
      <c r="A3" s="2" t="s">
        <v>14</v>
      </c>
      <c r="B3" s="3">
        <v>1</v>
      </c>
      <c r="C3" s="4">
        <v>74</v>
      </c>
      <c r="D3" s="4">
        <v>57</v>
      </c>
      <c r="E3" s="4">
        <v>1359</v>
      </c>
      <c r="F3" s="4">
        <v>78</v>
      </c>
      <c r="G3" s="4">
        <v>42</v>
      </c>
      <c r="H3" s="4">
        <v>835</v>
      </c>
      <c r="I3" s="4">
        <v>134</v>
      </c>
      <c r="J3" s="4">
        <v>11</v>
      </c>
      <c r="K3" s="4">
        <v>243</v>
      </c>
      <c r="L3" s="4">
        <v>49</v>
      </c>
      <c r="M3" s="4">
        <v>44</v>
      </c>
      <c r="N3" s="4">
        <v>926</v>
      </c>
      <c r="O3" s="4">
        <v>90</v>
      </c>
      <c r="P3" s="4">
        <v>6</v>
      </c>
      <c r="Q3" s="4">
        <v>98</v>
      </c>
      <c r="R3" s="4">
        <v>71</v>
      </c>
      <c r="S3" s="4">
        <v>43</v>
      </c>
      <c r="T3" s="4">
        <v>784</v>
      </c>
      <c r="U3" s="4">
        <v>286</v>
      </c>
      <c r="V3" s="4">
        <v>45</v>
      </c>
      <c r="W3" s="4">
        <v>908</v>
      </c>
      <c r="X3" s="4">
        <v>210</v>
      </c>
      <c r="Y3" s="4">
        <v>35</v>
      </c>
      <c r="Z3" s="4">
        <v>637</v>
      </c>
      <c r="AA3" s="4">
        <v>496</v>
      </c>
      <c r="AB3" s="4">
        <v>41</v>
      </c>
      <c r="AC3" s="4">
        <v>745</v>
      </c>
    </row>
    <row r="4" spans="1:29" x14ac:dyDescent="0.5">
      <c r="A4" s="2" t="s">
        <v>15</v>
      </c>
      <c r="B4" s="3">
        <v>2</v>
      </c>
      <c r="C4" s="4">
        <v>93</v>
      </c>
      <c r="D4" s="4">
        <v>39</v>
      </c>
      <c r="E4" s="4">
        <v>824</v>
      </c>
      <c r="F4" s="4">
        <v>70</v>
      </c>
      <c r="G4" s="4">
        <v>47</v>
      </c>
      <c r="H4" s="4">
        <v>1009</v>
      </c>
      <c r="I4" s="4">
        <v>126</v>
      </c>
      <c r="J4" s="4">
        <v>26</v>
      </c>
      <c r="K4" s="4">
        <v>521</v>
      </c>
      <c r="L4" s="4">
        <v>77</v>
      </c>
      <c r="M4" s="4">
        <v>16</v>
      </c>
      <c r="N4" s="4">
        <v>305</v>
      </c>
      <c r="O4" s="4">
        <v>82</v>
      </c>
      <c r="P4" s="4">
        <v>20</v>
      </c>
      <c r="Q4" s="4">
        <v>347</v>
      </c>
      <c r="R4" s="4">
        <v>86</v>
      </c>
      <c r="S4" s="4">
        <v>18</v>
      </c>
      <c r="T4" s="4">
        <v>301</v>
      </c>
      <c r="U4" s="4">
        <v>289</v>
      </c>
      <c r="V4" s="4">
        <v>43</v>
      </c>
      <c r="W4" s="4">
        <v>867</v>
      </c>
      <c r="X4" s="4">
        <v>245</v>
      </c>
      <c r="Y4" s="4">
        <v>19</v>
      </c>
      <c r="Z4" s="4">
        <v>300</v>
      </c>
      <c r="AA4" s="4">
        <v>534</v>
      </c>
      <c r="AB4" s="4">
        <v>31</v>
      </c>
      <c r="AC4" s="4">
        <v>533</v>
      </c>
    </row>
    <row r="5" spans="1:29" x14ac:dyDescent="0.5">
      <c r="A5" s="2" t="s">
        <v>16</v>
      </c>
      <c r="B5" s="3">
        <v>3</v>
      </c>
      <c r="C5" s="4">
        <v>105</v>
      </c>
      <c r="D5" s="4">
        <v>16</v>
      </c>
      <c r="E5" s="4">
        <v>307</v>
      </c>
      <c r="F5" s="4">
        <v>95</v>
      </c>
      <c r="G5" s="4">
        <v>22</v>
      </c>
      <c r="H5" s="4">
        <v>483</v>
      </c>
      <c r="I5" s="4">
        <v>138.5</v>
      </c>
      <c r="J5" s="4">
        <v>3</v>
      </c>
      <c r="K5" s="4">
        <v>94</v>
      </c>
      <c r="L5" s="4">
        <v>61</v>
      </c>
      <c r="M5" s="4">
        <v>30</v>
      </c>
      <c r="N5" s="4">
        <v>655</v>
      </c>
      <c r="O5" s="4">
        <v>74</v>
      </c>
      <c r="P5" s="4">
        <v>35</v>
      </c>
      <c r="Q5" s="4">
        <v>603</v>
      </c>
      <c r="R5" s="4">
        <v>69</v>
      </c>
      <c r="S5" s="4">
        <v>49</v>
      </c>
      <c r="T5" s="4">
        <v>855</v>
      </c>
      <c r="U5" s="4">
        <v>338.5</v>
      </c>
      <c r="V5" s="4">
        <v>10</v>
      </c>
      <c r="W5" s="4">
        <v>247</v>
      </c>
      <c r="X5" s="4">
        <v>204</v>
      </c>
      <c r="Y5" s="4">
        <v>38</v>
      </c>
      <c r="Z5" s="4">
        <v>695</v>
      </c>
      <c r="AA5" s="4">
        <v>542.5</v>
      </c>
      <c r="AB5" s="4">
        <v>27</v>
      </c>
      <c r="AC5" s="4">
        <v>489</v>
      </c>
    </row>
    <row r="6" spans="1:29" x14ac:dyDescent="0.5">
      <c r="A6" s="2" t="s">
        <v>17</v>
      </c>
      <c r="B6" s="3">
        <v>4</v>
      </c>
      <c r="C6" s="4">
        <v>98</v>
      </c>
      <c r="D6" s="4">
        <v>28</v>
      </c>
      <c r="E6" s="4">
        <v>604</v>
      </c>
      <c r="F6" s="4">
        <v>109</v>
      </c>
      <c r="G6" s="4">
        <v>11</v>
      </c>
      <c r="H6" s="4">
        <v>227</v>
      </c>
      <c r="I6" s="4">
        <v>122.5</v>
      </c>
      <c r="J6" s="4">
        <v>37</v>
      </c>
      <c r="K6" s="4">
        <v>660</v>
      </c>
      <c r="L6" s="4">
        <v>87</v>
      </c>
      <c r="M6" s="4">
        <v>9</v>
      </c>
      <c r="N6" s="4">
        <v>160</v>
      </c>
      <c r="O6" s="4">
        <v>76</v>
      </c>
      <c r="P6" s="4">
        <v>32</v>
      </c>
      <c r="Q6" s="4">
        <v>534</v>
      </c>
      <c r="R6" s="4">
        <v>88</v>
      </c>
      <c r="S6" s="4">
        <v>15</v>
      </c>
      <c r="T6" s="4">
        <v>224</v>
      </c>
      <c r="U6" s="4">
        <v>329.5</v>
      </c>
      <c r="V6" s="4">
        <v>21</v>
      </c>
      <c r="W6" s="4">
        <v>357</v>
      </c>
      <c r="X6" s="4">
        <v>251</v>
      </c>
      <c r="Y6" s="4">
        <v>17</v>
      </c>
      <c r="Z6" s="4">
        <v>247</v>
      </c>
      <c r="AA6" s="4">
        <v>580.5</v>
      </c>
      <c r="AB6" s="4">
        <v>16</v>
      </c>
      <c r="AC6" s="4">
        <v>275</v>
      </c>
    </row>
    <row r="7" spans="1:29" x14ac:dyDescent="0.5">
      <c r="A7" s="2" t="s">
        <v>18</v>
      </c>
      <c r="B7" s="3">
        <v>5</v>
      </c>
      <c r="C7" s="4">
        <v>96</v>
      </c>
      <c r="D7" s="4">
        <v>33</v>
      </c>
      <c r="E7" s="4">
        <v>696</v>
      </c>
      <c r="F7" s="4">
        <v>112</v>
      </c>
      <c r="G7" s="4">
        <v>8</v>
      </c>
      <c r="H7" s="4">
        <v>181</v>
      </c>
      <c r="I7" s="4">
        <v>123</v>
      </c>
      <c r="J7" s="4">
        <v>35</v>
      </c>
      <c r="K7" s="4">
        <v>637</v>
      </c>
      <c r="L7" s="4">
        <v>103</v>
      </c>
      <c r="M7" s="4">
        <v>2</v>
      </c>
      <c r="N7" s="4">
        <v>16</v>
      </c>
      <c r="O7" s="4">
        <v>88</v>
      </c>
      <c r="P7" s="4">
        <v>9</v>
      </c>
      <c r="Q7" s="4">
        <v>158</v>
      </c>
      <c r="R7" s="4">
        <v>83</v>
      </c>
      <c r="S7" s="4">
        <v>26</v>
      </c>
      <c r="T7" s="4">
        <v>407</v>
      </c>
      <c r="U7" s="4">
        <v>331</v>
      </c>
      <c r="V7" s="4">
        <v>18</v>
      </c>
      <c r="W7" s="4">
        <v>343</v>
      </c>
      <c r="X7" s="4">
        <v>274</v>
      </c>
      <c r="Y7" s="4">
        <v>6</v>
      </c>
      <c r="Z7" s="4">
        <v>77</v>
      </c>
      <c r="AA7" s="4">
        <v>605</v>
      </c>
      <c r="AB7" s="4">
        <v>9</v>
      </c>
      <c r="AC7" s="4">
        <v>163</v>
      </c>
    </row>
    <row r="8" spans="1:29" x14ac:dyDescent="0.5">
      <c r="A8" s="2" t="s">
        <v>19</v>
      </c>
      <c r="B8" s="3">
        <v>6</v>
      </c>
      <c r="C8" s="4">
        <v>109</v>
      </c>
      <c r="D8" s="4">
        <v>10</v>
      </c>
      <c r="E8" s="4">
        <v>175</v>
      </c>
      <c r="F8" s="4">
        <v>68</v>
      </c>
      <c r="G8" s="4">
        <v>49</v>
      </c>
      <c r="H8" s="4">
        <v>1044</v>
      </c>
      <c r="I8" s="4">
        <v>125</v>
      </c>
      <c r="J8" s="4">
        <v>30</v>
      </c>
      <c r="K8" s="4">
        <v>555</v>
      </c>
      <c r="L8" s="4">
        <v>52</v>
      </c>
      <c r="M8" s="4">
        <v>38</v>
      </c>
      <c r="N8" s="4">
        <v>860</v>
      </c>
      <c r="O8" s="4">
        <v>78</v>
      </c>
      <c r="P8" s="4">
        <v>28</v>
      </c>
      <c r="Q8" s="4">
        <v>460</v>
      </c>
      <c r="R8" s="4">
        <v>71</v>
      </c>
      <c r="S8" s="4">
        <v>43</v>
      </c>
      <c r="T8" s="4">
        <v>784</v>
      </c>
      <c r="U8" s="4">
        <v>302</v>
      </c>
      <c r="V8" s="4">
        <v>35</v>
      </c>
      <c r="W8" s="4">
        <v>683</v>
      </c>
      <c r="X8" s="4">
        <v>201</v>
      </c>
      <c r="Y8" s="4">
        <v>40</v>
      </c>
      <c r="Z8" s="4">
        <v>730</v>
      </c>
      <c r="AA8" s="4">
        <v>503</v>
      </c>
      <c r="AB8" s="4">
        <v>38</v>
      </c>
      <c r="AC8" s="4">
        <v>711</v>
      </c>
    </row>
    <row r="9" spans="1:29" x14ac:dyDescent="0.5">
      <c r="A9" s="2" t="s">
        <v>20</v>
      </c>
      <c r="B9" s="3">
        <v>7</v>
      </c>
      <c r="C9" s="4">
        <v>109</v>
      </c>
      <c r="D9" s="4">
        <v>10</v>
      </c>
      <c r="E9" s="4">
        <v>175</v>
      </c>
      <c r="F9" s="4">
        <v>87</v>
      </c>
      <c r="G9" s="4">
        <v>34</v>
      </c>
      <c r="H9" s="4">
        <v>660</v>
      </c>
      <c r="I9" s="4">
        <v>135.5</v>
      </c>
      <c r="J9" s="4">
        <v>8</v>
      </c>
      <c r="K9" s="4">
        <v>198</v>
      </c>
      <c r="L9" s="4">
        <v>49</v>
      </c>
      <c r="M9" s="4">
        <v>44</v>
      </c>
      <c r="N9" s="4">
        <v>926</v>
      </c>
      <c r="O9" s="4">
        <v>70</v>
      </c>
      <c r="P9" s="4">
        <v>41</v>
      </c>
      <c r="Q9" s="4">
        <v>743</v>
      </c>
      <c r="R9" s="4">
        <v>78</v>
      </c>
      <c r="S9" s="4">
        <v>36</v>
      </c>
      <c r="T9" s="4">
        <v>568</v>
      </c>
      <c r="U9" s="4">
        <v>331.5</v>
      </c>
      <c r="V9" s="4">
        <v>17</v>
      </c>
      <c r="W9" s="4">
        <v>334</v>
      </c>
      <c r="X9" s="4">
        <v>197</v>
      </c>
      <c r="Y9" s="4">
        <v>42</v>
      </c>
      <c r="Z9" s="4">
        <v>769</v>
      </c>
      <c r="AA9" s="4">
        <v>528.5</v>
      </c>
      <c r="AB9" s="4">
        <v>33</v>
      </c>
      <c r="AC9" s="4">
        <v>571</v>
      </c>
    </row>
    <row r="10" spans="1:29" x14ac:dyDescent="0.5">
      <c r="A10" s="2" t="s">
        <v>21</v>
      </c>
      <c r="B10" s="3">
        <v>8</v>
      </c>
      <c r="C10" s="4">
        <v>119</v>
      </c>
      <c r="D10" s="4">
        <v>1</v>
      </c>
      <c r="E10" s="4">
        <v>17</v>
      </c>
      <c r="F10" s="4">
        <v>111</v>
      </c>
      <c r="G10" s="4">
        <v>10</v>
      </c>
      <c r="H10" s="4">
        <v>194</v>
      </c>
      <c r="I10" s="4">
        <v>139.5</v>
      </c>
      <c r="J10" s="4">
        <v>2</v>
      </c>
      <c r="K10" s="4">
        <v>72</v>
      </c>
      <c r="L10" s="4">
        <v>82</v>
      </c>
      <c r="M10" s="4">
        <v>12</v>
      </c>
      <c r="N10" s="4">
        <v>231</v>
      </c>
      <c r="O10" s="4">
        <v>88</v>
      </c>
      <c r="P10" s="4">
        <v>9</v>
      </c>
      <c r="Q10" s="4">
        <v>158</v>
      </c>
      <c r="R10" s="4">
        <v>95</v>
      </c>
      <c r="S10" s="4">
        <v>4</v>
      </c>
      <c r="T10" s="4">
        <v>32</v>
      </c>
      <c r="U10" s="4">
        <v>369.5</v>
      </c>
      <c r="V10" s="4">
        <v>2</v>
      </c>
      <c r="W10" s="4">
        <v>59</v>
      </c>
      <c r="X10" s="4">
        <v>265</v>
      </c>
      <c r="Y10" s="4">
        <v>8</v>
      </c>
      <c r="Z10" s="4">
        <v>130</v>
      </c>
      <c r="AA10" s="4">
        <v>634.5</v>
      </c>
      <c r="AB10" s="4">
        <v>4</v>
      </c>
      <c r="AC10" s="4">
        <v>69</v>
      </c>
    </row>
    <row r="11" spans="1:29" x14ac:dyDescent="0.5">
      <c r="A11" s="2" t="s">
        <v>22</v>
      </c>
      <c r="B11" s="3">
        <v>9</v>
      </c>
      <c r="C11" s="4">
        <v>93</v>
      </c>
      <c r="D11" s="4">
        <v>39</v>
      </c>
      <c r="E11" s="4">
        <v>824</v>
      </c>
      <c r="F11" s="4">
        <v>79</v>
      </c>
      <c r="G11" s="4">
        <v>41</v>
      </c>
      <c r="H11" s="4">
        <v>814</v>
      </c>
      <c r="I11" s="4">
        <v>120</v>
      </c>
      <c r="J11" s="4">
        <v>39</v>
      </c>
      <c r="K11" s="4">
        <v>752</v>
      </c>
      <c r="L11" s="4">
        <v>82</v>
      </c>
      <c r="M11" s="4">
        <v>12</v>
      </c>
      <c r="N11" s="4">
        <v>231</v>
      </c>
      <c r="O11" s="4">
        <v>88</v>
      </c>
      <c r="P11" s="4">
        <v>9</v>
      </c>
      <c r="Q11" s="4">
        <v>158</v>
      </c>
      <c r="R11" s="4">
        <v>85</v>
      </c>
      <c r="S11" s="4">
        <v>22</v>
      </c>
      <c r="T11" s="4">
        <v>344</v>
      </c>
      <c r="U11" s="4">
        <v>292</v>
      </c>
      <c r="V11" s="4">
        <v>41</v>
      </c>
      <c r="W11" s="4">
        <v>829</v>
      </c>
      <c r="X11" s="4">
        <v>255</v>
      </c>
      <c r="Y11" s="4">
        <v>15</v>
      </c>
      <c r="Z11" s="4">
        <v>214</v>
      </c>
      <c r="AA11" s="4">
        <v>547</v>
      </c>
      <c r="AB11" s="4">
        <v>25</v>
      </c>
      <c r="AC11" s="4">
        <v>466</v>
      </c>
    </row>
    <row r="12" spans="1:29" x14ac:dyDescent="0.5">
      <c r="A12" s="2" t="s">
        <v>23</v>
      </c>
      <c r="B12" s="3">
        <v>10</v>
      </c>
      <c r="C12" s="4">
        <v>105</v>
      </c>
      <c r="D12" s="4">
        <v>16</v>
      </c>
      <c r="E12" s="4">
        <v>307</v>
      </c>
      <c r="F12" s="4">
        <v>74</v>
      </c>
      <c r="G12" s="4">
        <v>46</v>
      </c>
      <c r="H12" s="4">
        <v>916</v>
      </c>
      <c r="I12" s="4">
        <v>114.5</v>
      </c>
      <c r="J12" s="4">
        <v>45</v>
      </c>
      <c r="K12" s="4">
        <v>933</v>
      </c>
      <c r="L12" s="4">
        <v>77</v>
      </c>
      <c r="M12" s="4">
        <v>16</v>
      </c>
      <c r="N12" s="4">
        <v>305</v>
      </c>
      <c r="O12" s="4">
        <v>68</v>
      </c>
      <c r="P12" s="4">
        <v>45</v>
      </c>
      <c r="Q12" s="4">
        <v>803</v>
      </c>
      <c r="R12" s="4">
        <v>80</v>
      </c>
      <c r="S12" s="4">
        <v>33</v>
      </c>
      <c r="T12" s="4">
        <v>497</v>
      </c>
      <c r="U12" s="4">
        <v>293.5</v>
      </c>
      <c r="V12" s="4">
        <v>39</v>
      </c>
      <c r="W12" s="4">
        <v>810</v>
      </c>
      <c r="X12" s="4">
        <v>225</v>
      </c>
      <c r="Y12" s="4">
        <v>26</v>
      </c>
      <c r="Z12" s="4">
        <v>485</v>
      </c>
      <c r="AA12" s="4">
        <v>518.5</v>
      </c>
      <c r="AB12" s="4">
        <v>35</v>
      </c>
      <c r="AC12" s="4">
        <v>624</v>
      </c>
    </row>
    <row r="13" spans="1:29" x14ac:dyDescent="0.5">
      <c r="A13" s="2" t="s">
        <v>24</v>
      </c>
      <c r="B13" s="3">
        <v>11</v>
      </c>
      <c r="C13" s="4">
        <v>98</v>
      </c>
      <c r="D13" s="4">
        <v>28</v>
      </c>
      <c r="E13" s="4">
        <v>604</v>
      </c>
      <c r="F13" s="4">
        <v>90</v>
      </c>
      <c r="G13" s="4">
        <v>29</v>
      </c>
      <c r="H13" s="4">
        <v>594</v>
      </c>
      <c r="I13" s="4">
        <v>99.5</v>
      </c>
      <c r="J13" s="4">
        <v>58</v>
      </c>
      <c r="K13" s="4">
        <v>1248</v>
      </c>
      <c r="L13" s="4">
        <v>50</v>
      </c>
      <c r="M13" s="4">
        <v>42</v>
      </c>
      <c r="N13" s="4">
        <v>902</v>
      </c>
      <c r="O13" s="4">
        <v>70</v>
      </c>
      <c r="P13" s="4">
        <v>41</v>
      </c>
      <c r="Q13" s="4">
        <v>743</v>
      </c>
      <c r="R13" s="4">
        <v>63</v>
      </c>
      <c r="S13" s="4">
        <v>54</v>
      </c>
      <c r="T13" s="4">
        <v>1012</v>
      </c>
      <c r="U13" s="4">
        <v>287.5</v>
      </c>
      <c r="V13" s="4">
        <v>44</v>
      </c>
      <c r="W13" s="4">
        <v>884</v>
      </c>
      <c r="X13" s="4">
        <v>183</v>
      </c>
      <c r="Y13" s="4">
        <v>47</v>
      </c>
      <c r="Z13" s="4">
        <v>907</v>
      </c>
      <c r="AA13" s="4">
        <v>470.5</v>
      </c>
      <c r="AB13" s="4">
        <v>47</v>
      </c>
      <c r="AC13" s="4">
        <v>902</v>
      </c>
    </row>
    <row r="14" spans="1:29" x14ac:dyDescent="0.5">
      <c r="A14" s="2" t="s">
        <v>25</v>
      </c>
      <c r="B14" s="3">
        <v>12</v>
      </c>
      <c r="C14" s="4">
        <v>99</v>
      </c>
      <c r="D14" s="4">
        <v>27</v>
      </c>
      <c r="E14" s="4">
        <v>548</v>
      </c>
      <c r="F14" s="4">
        <v>76</v>
      </c>
      <c r="G14" s="4">
        <v>45</v>
      </c>
      <c r="H14" s="4">
        <v>882</v>
      </c>
      <c r="I14" s="4">
        <v>124.5</v>
      </c>
      <c r="J14" s="4">
        <v>33</v>
      </c>
      <c r="K14" s="4">
        <v>578</v>
      </c>
      <c r="L14" s="4">
        <v>43</v>
      </c>
      <c r="M14" s="4">
        <v>49</v>
      </c>
      <c r="N14" s="4">
        <v>1046</v>
      </c>
      <c r="O14" s="4">
        <v>56</v>
      </c>
      <c r="P14" s="4">
        <v>56</v>
      </c>
      <c r="Q14" s="4">
        <v>1107</v>
      </c>
      <c r="R14" s="4">
        <v>51</v>
      </c>
      <c r="S14" s="4">
        <v>58</v>
      </c>
      <c r="T14" s="4">
        <v>1254</v>
      </c>
      <c r="U14" s="4">
        <v>299.5</v>
      </c>
      <c r="V14" s="4">
        <v>36</v>
      </c>
      <c r="W14" s="4">
        <v>720</v>
      </c>
      <c r="X14" s="4">
        <v>150</v>
      </c>
      <c r="Y14" s="4">
        <v>58</v>
      </c>
      <c r="Z14" s="4">
        <v>1184</v>
      </c>
      <c r="AA14" s="4">
        <v>449.5</v>
      </c>
      <c r="AB14" s="4">
        <v>51</v>
      </c>
      <c r="AC14" s="4">
        <v>1015</v>
      </c>
    </row>
    <row r="15" spans="1:29" x14ac:dyDescent="0.5">
      <c r="A15" s="2" t="s">
        <v>26</v>
      </c>
      <c r="B15" s="3">
        <v>13</v>
      </c>
      <c r="C15" s="4">
        <v>98</v>
      </c>
      <c r="D15" s="4">
        <v>28</v>
      </c>
      <c r="E15" s="4">
        <v>604</v>
      </c>
      <c r="F15" s="4">
        <v>123</v>
      </c>
      <c r="G15" s="4">
        <v>4</v>
      </c>
      <c r="H15" s="4">
        <v>81</v>
      </c>
      <c r="I15" s="4">
        <v>127.5</v>
      </c>
      <c r="J15" s="4">
        <v>24</v>
      </c>
      <c r="K15" s="4">
        <v>473</v>
      </c>
      <c r="L15" s="4">
        <v>108</v>
      </c>
      <c r="M15" s="4">
        <v>1</v>
      </c>
      <c r="N15" s="4">
        <v>1</v>
      </c>
      <c r="O15" s="4">
        <v>94</v>
      </c>
      <c r="P15" s="4">
        <v>4</v>
      </c>
      <c r="Q15" s="4">
        <v>27</v>
      </c>
      <c r="R15" s="4">
        <v>89</v>
      </c>
      <c r="S15" s="4">
        <v>13</v>
      </c>
      <c r="T15" s="4">
        <v>191</v>
      </c>
      <c r="U15" s="4">
        <v>348.5</v>
      </c>
      <c r="V15" s="4">
        <v>4</v>
      </c>
      <c r="W15" s="4">
        <v>160</v>
      </c>
      <c r="X15" s="4">
        <v>291</v>
      </c>
      <c r="Y15" s="4">
        <v>2</v>
      </c>
      <c r="Z15" s="4">
        <v>10</v>
      </c>
      <c r="AA15" s="4">
        <v>639.5</v>
      </c>
      <c r="AB15" s="4">
        <v>2</v>
      </c>
      <c r="AC15" s="4">
        <v>57</v>
      </c>
    </row>
    <row r="16" spans="1:29" x14ac:dyDescent="0.5">
      <c r="A16" s="2" t="s">
        <v>27</v>
      </c>
      <c r="B16" s="3">
        <v>14</v>
      </c>
      <c r="C16" s="4">
        <v>104</v>
      </c>
      <c r="D16" s="4">
        <v>20</v>
      </c>
      <c r="E16" s="4">
        <v>339</v>
      </c>
      <c r="F16" s="4">
        <v>130</v>
      </c>
      <c r="G16" s="4">
        <v>2</v>
      </c>
      <c r="H16" s="4">
        <v>42</v>
      </c>
      <c r="I16" s="4">
        <v>125</v>
      </c>
      <c r="J16" s="4">
        <v>30</v>
      </c>
      <c r="K16" s="4">
        <v>555</v>
      </c>
      <c r="L16" s="4">
        <v>88</v>
      </c>
      <c r="M16" s="4">
        <v>8</v>
      </c>
      <c r="N16" s="4">
        <v>147</v>
      </c>
      <c r="O16" s="4">
        <v>98</v>
      </c>
      <c r="P16" s="4">
        <v>1</v>
      </c>
      <c r="Q16" s="4">
        <v>5</v>
      </c>
      <c r="R16" s="4">
        <v>91</v>
      </c>
      <c r="S16" s="4">
        <v>8</v>
      </c>
      <c r="T16" s="4">
        <v>128</v>
      </c>
      <c r="U16" s="4">
        <v>359</v>
      </c>
      <c r="V16" s="4">
        <v>3</v>
      </c>
      <c r="W16" s="4">
        <v>101</v>
      </c>
      <c r="X16" s="4">
        <v>277</v>
      </c>
      <c r="Y16" s="4">
        <v>5</v>
      </c>
      <c r="Z16" s="4">
        <v>60</v>
      </c>
      <c r="AA16" s="4">
        <v>636</v>
      </c>
      <c r="AB16" s="4">
        <v>3</v>
      </c>
      <c r="AC16" s="4">
        <v>66</v>
      </c>
    </row>
    <row r="17" spans="1:29" x14ac:dyDescent="0.5">
      <c r="A17" s="2" t="s">
        <v>28</v>
      </c>
      <c r="B17" s="3">
        <v>15</v>
      </c>
      <c r="C17" s="4">
        <v>106</v>
      </c>
      <c r="D17" s="4">
        <v>15</v>
      </c>
      <c r="E17" s="4">
        <v>277</v>
      </c>
      <c r="F17" s="4">
        <v>97</v>
      </c>
      <c r="G17" s="4">
        <v>19</v>
      </c>
      <c r="H17" s="4">
        <v>437</v>
      </c>
      <c r="I17" s="4">
        <v>138.5</v>
      </c>
      <c r="J17" s="4">
        <v>3</v>
      </c>
      <c r="K17" s="4">
        <v>94</v>
      </c>
      <c r="L17" s="4">
        <v>56</v>
      </c>
      <c r="M17" s="4">
        <v>35</v>
      </c>
      <c r="N17" s="4">
        <v>786</v>
      </c>
      <c r="O17" s="4">
        <v>70</v>
      </c>
      <c r="P17" s="4">
        <v>41</v>
      </c>
      <c r="Q17" s="4">
        <v>743</v>
      </c>
      <c r="R17" s="4">
        <v>82</v>
      </c>
      <c r="S17" s="4">
        <v>30</v>
      </c>
      <c r="T17" s="4">
        <v>444</v>
      </c>
      <c r="U17" s="4">
        <v>341.5</v>
      </c>
      <c r="V17" s="4">
        <v>8</v>
      </c>
      <c r="W17" s="4">
        <v>217</v>
      </c>
      <c r="X17" s="4">
        <v>208</v>
      </c>
      <c r="Y17" s="4">
        <v>36</v>
      </c>
      <c r="Z17" s="4">
        <v>654</v>
      </c>
      <c r="AA17" s="4">
        <v>549.5</v>
      </c>
      <c r="AB17" s="4">
        <v>22</v>
      </c>
      <c r="AC17" s="4">
        <v>443</v>
      </c>
    </row>
    <row r="18" spans="1:29" x14ac:dyDescent="0.5">
      <c r="A18" s="2" t="s">
        <v>29</v>
      </c>
      <c r="B18" s="3">
        <v>16</v>
      </c>
      <c r="C18" s="4">
        <v>98</v>
      </c>
      <c r="D18" s="4">
        <v>28</v>
      </c>
      <c r="E18" s="4">
        <v>604</v>
      </c>
      <c r="F18" s="4">
        <v>82</v>
      </c>
      <c r="G18" s="4">
        <v>39</v>
      </c>
      <c r="H18" s="4">
        <v>756</v>
      </c>
      <c r="I18" s="4">
        <v>136.5</v>
      </c>
      <c r="J18" s="4">
        <v>7</v>
      </c>
      <c r="K18" s="4">
        <v>157</v>
      </c>
      <c r="L18" s="4">
        <v>72</v>
      </c>
      <c r="M18" s="4">
        <v>23</v>
      </c>
      <c r="N18" s="4">
        <v>427</v>
      </c>
      <c r="O18" s="4">
        <v>74</v>
      </c>
      <c r="P18" s="4">
        <v>35</v>
      </c>
      <c r="Q18" s="4">
        <v>603</v>
      </c>
      <c r="R18" s="4">
        <v>84</v>
      </c>
      <c r="S18" s="4">
        <v>23</v>
      </c>
      <c r="T18" s="4">
        <v>379</v>
      </c>
      <c r="U18" s="4">
        <v>316.5</v>
      </c>
      <c r="V18" s="4">
        <v>28</v>
      </c>
      <c r="W18" s="4">
        <v>511</v>
      </c>
      <c r="X18" s="4">
        <v>230</v>
      </c>
      <c r="Y18" s="4">
        <v>24</v>
      </c>
      <c r="Z18" s="4">
        <v>445</v>
      </c>
      <c r="AA18" s="4">
        <v>546.5</v>
      </c>
      <c r="AB18" s="4">
        <v>26</v>
      </c>
      <c r="AC18" s="4">
        <v>468</v>
      </c>
    </row>
    <row r="19" spans="1:29" x14ac:dyDescent="0.5">
      <c r="A19" s="2" t="s">
        <v>30</v>
      </c>
      <c r="B19" s="3">
        <v>17</v>
      </c>
      <c r="C19" s="4">
        <v>103</v>
      </c>
      <c r="D19" s="4">
        <v>22</v>
      </c>
      <c r="E19" s="4">
        <v>374</v>
      </c>
      <c r="F19" s="4">
        <v>88</v>
      </c>
      <c r="G19" s="4">
        <v>33</v>
      </c>
      <c r="H19" s="4">
        <v>643</v>
      </c>
      <c r="I19" s="4">
        <v>123</v>
      </c>
      <c r="J19" s="4">
        <v>35</v>
      </c>
      <c r="K19" s="4">
        <v>637</v>
      </c>
      <c r="L19" s="4">
        <v>74</v>
      </c>
      <c r="M19" s="4">
        <v>22</v>
      </c>
      <c r="N19" s="4">
        <v>372</v>
      </c>
      <c r="O19" s="4">
        <v>87</v>
      </c>
      <c r="P19" s="4">
        <v>13</v>
      </c>
      <c r="Q19" s="4">
        <v>208</v>
      </c>
      <c r="R19" s="4">
        <v>86</v>
      </c>
      <c r="S19" s="4">
        <v>18</v>
      </c>
      <c r="T19" s="4">
        <v>301</v>
      </c>
      <c r="U19" s="4">
        <v>314</v>
      </c>
      <c r="V19" s="4">
        <v>32</v>
      </c>
      <c r="W19" s="4">
        <v>540</v>
      </c>
      <c r="X19" s="4">
        <v>247</v>
      </c>
      <c r="Y19" s="4">
        <v>18</v>
      </c>
      <c r="Z19" s="4">
        <v>285</v>
      </c>
      <c r="AA19" s="4">
        <v>561</v>
      </c>
      <c r="AB19" s="4">
        <v>19</v>
      </c>
      <c r="AC19" s="4">
        <v>369</v>
      </c>
    </row>
    <row r="20" spans="1:29" x14ac:dyDescent="0.5">
      <c r="A20" s="2" t="s">
        <v>31</v>
      </c>
      <c r="B20" s="3">
        <v>18</v>
      </c>
      <c r="C20" s="4">
        <v>105</v>
      </c>
      <c r="D20" s="4">
        <v>16</v>
      </c>
      <c r="E20" s="4">
        <v>307</v>
      </c>
      <c r="F20" s="4">
        <v>62</v>
      </c>
      <c r="G20" s="4">
        <v>51</v>
      </c>
      <c r="H20" s="4">
        <v>1135</v>
      </c>
      <c r="I20" s="4">
        <v>114</v>
      </c>
      <c r="J20" s="4">
        <v>46</v>
      </c>
      <c r="K20" s="4">
        <v>948</v>
      </c>
      <c r="L20" s="4">
        <v>31</v>
      </c>
      <c r="M20" s="4">
        <v>58</v>
      </c>
      <c r="N20" s="4">
        <v>1295</v>
      </c>
      <c r="O20" s="4">
        <v>58</v>
      </c>
      <c r="P20" s="4">
        <v>54</v>
      </c>
      <c r="Q20" s="4">
        <v>1069</v>
      </c>
      <c r="R20" s="4">
        <v>71</v>
      </c>
      <c r="S20" s="4">
        <v>43</v>
      </c>
      <c r="T20" s="4">
        <v>784</v>
      </c>
      <c r="U20" s="4">
        <v>281</v>
      </c>
      <c r="V20" s="4">
        <v>47</v>
      </c>
      <c r="W20" s="4">
        <v>956</v>
      </c>
      <c r="X20" s="4">
        <v>160</v>
      </c>
      <c r="Y20" s="4">
        <v>56</v>
      </c>
      <c r="Z20" s="4">
        <v>1114</v>
      </c>
      <c r="AA20" s="4">
        <v>441</v>
      </c>
      <c r="AB20" s="4">
        <v>55</v>
      </c>
      <c r="AC20" s="4">
        <v>1069</v>
      </c>
    </row>
    <row r="21" spans="1:29" x14ac:dyDescent="0.5">
      <c r="A21" s="2" t="s">
        <v>32</v>
      </c>
      <c r="B21" s="3">
        <v>19</v>
      </c>
      <c r="C21" s="4">
        <v>93</v>
      </c>
      <c r="D21" s="4">
        <v>39</v>
      </c>
      <c r="E21" s="4">
        <v>824</v>
      </c>
      <c r="F21" s="4">
        <v>92</v>
      </c>
      <c r="G21" s="4">
        <v>27</v>
      </c>
      <c r="H21" s="4">
        <v>553</v>
      </c>
      <c r="I21" s="4">
        <v>113</v>
      </c>
      <c r="J21" s="4">
        <v>48</v>
      </c>
      <c r="K21" s="4">
        <v>970</v>
      </c>
      <c r="L21" s="4">
        <v>71</v>
      </c>
      <c r="M21" s="4">
        <v>25</v>
      </c>
      <c r="N21" s="4">
        <v>451</v>
      </c>
      <c r="O21" s="4">
        <v>71</v>
      </c>
      <c r="P21" s="4">
        <v>39</v>
      </c>
      <c r="Q21" s="4">
        <v>726</v>
      </c>
      <c r="R21" s="4">
        <v>71</v>
      </c>
      <c r="S21" s="4">
        <v>43</v>
      </c>
      <c r="T21" s="4">
        <v>784</v>
      </c>
      <c r="U21" s="4">
        <v>298</v>
      </c>
      <c r="V21" s="4">
        <v>37</v>
      </c>
      <c r="W21" s="4">
        <v>752</v>
      </c>
      <c r="X21" s="4">
        <v>213</v>
      </c>
      <c r="Y21" s="4">
        <v>32</v>
      </c>
      <c r="Z21" s="4">
        <v>599</v>
      </c>
      <c r="AA21" s="4">
        <v>511</v>
      </c>
      <c r="AB21" s="4">
        <v>37</v>
      </c>
      <c r="AC21" s="4">
        <v>661</v>
      </c>
    </row>
    <row r="22" spans="1:29" x14ac:dyDescent="0.5">
      <c r="A22" s="2" t="s">
        <v>33</v>
      </c>
      <c r="B22" s="3">
        <v>20</v>
      </c>
      <c r="C22" s="4">
        <v>96</v>
      </c>
      <c r="D22" s="4">
        <v>33</v>
      </c>
      <c r="E22" s="4">
        <v>696</v>
      </c>
      <c r="F22" s="4">
        <v>89</v>
      </c>
      <c r="G22" s="4">
        <v>30</v>
      </c>
      <c r="H22" s="4">
        <v>619</v>
      </c>
      <c r="I22" s="4">
        <v>129.5</v>
      </c>
      <c r="J22" s="4">
        <v>18</v>
      </c>
      <c r="K22" s="4">
        <v>401</v>
      </c>
      <c r="L22" s="4">
        <v>60</v>
      </c>
      <c r="M22" s="4">
        <v>32</v>
      </c>
      <c r="N22" s="4">
        <v>683</v>
      </c>
      <c r="O22" s="4">
        <v>80</v>
      </c>
      <c r="P22" s="4">
        <v>25</v>
      </c>
      <c r="Q22" s="4">
        <v>411</v>
      </c>
      <c r="R22" s="4">
        <v>86</v>
      </c>
      <c r="S22" s="4">
        <v>18</v>
      </c>
      <c r="T22" s="4">
        <v>301</v>
      </c>
      <c r="U22" s="4">
        <v>314.5</v>
      </c>
      <c r="V22" s="4">
        <v>30</v>
      </c>
      <c r="W22" s="4">
        <v>536</v>
      </c>
      <c r="X22" s="4">
        <v>226</v>
      </c>
      <c r="Y22" s="4">
        <v>25</v>
      </c>
      <c r="Z22" s="4">
        <v>479</v>
      </c>
      <c r="AA22" s="4">
        <v>540.5</v>
      </c>
      <c r="AB22" s="4">
        <v>28</v>
      </c>
      <c r="AC22" s="4">
        <v>494</v>
      </c>
    </row>
    <row r="23" spans="1:29" x14ac:dyDescent="0.5">
      <c r="A23" s="2" t="s">
        <v>34</v>
      </c>
      <c r="B23" s="3">
        <v>21</v>
      </c>
      <c r="C23" s="4">
        <v>72</v>
      </c>
      <c r="D23" s="4">
        <v>58</v>
      </c>
      <c r="E23" s="4">
        <v>1373</v>
      </c>
      <c r="F23" s="4">
        <v>53</v>
      </c>
      <c r="G23" s="4">
        <v>56</v>
      </c>
      <c r="H23" s="4">
        <v>1280</v>
      </c>
      <c r="I23" s="4">
        <v>87.5</v>
      </c>
      <c r="J23" s="4">
        <v>59</v>
      </c>
      <c r="K23" s="4">
        <v>1356</v>
      </c>
      <c r="L23" s="4">
        <v>67</v>
      </c>
      <c r="M23" s="4">
        <v>26</v>
      </c>
      <c r="N23" s="4">
        <v>527</v>
      </c>
      <c r="O23" s="4">
        <v>48</v>
      </c>
      <c r="P23" s="4">
        <v>59</v>
      </c>
      <c r="Q23" s="4">
        <v>1250</v>
      </c>
      <c r="R23" s="4">
        <v>55</v>
      </c>
      <c r="S23" s="4">
        <v>57</v>
      </c>
      <c r="T23" s="4">
        <v>1179</v>
      </c>
      <c r="U23" s="4">
        <v>212.5</v>
      </c>
      <c r="V23" s="4">
        <v>59</v>
      </c>
      <c r="W23" s="4">
        <v>1392</v>
      </c>
      <c r="X23" s="4">
        <v>170</v>
      </c>
      <c r="Y23" s="4">
        <v>52</v>
      </c>
      <c r="Z23" s="4">
        <v>1038</v>
      </c>
      <c r="AA23" s="4">
        <v>382.5</v>
      </c>
      <c r="AB23" s="4">
        <v>59</v>
      </c>
      <c r="AC23" s="4">
        <v>1290</v>
      </c>
    </row>
    <row r="24" spans="1:29" x14ac:dyDescent="0.5">
      <c r="A24" s="2" t="s">
        <v>35</v>
      </c>
      <c r="B24" s="3">
        <v>22</v>
      </c>
      <c r="C24" s="4">
        <v>75</v>
      </c>
      <c r="D24" s="4">
        <v>55</v>
      </c>
      <c r="E24" s="4">
        <v>1345</v>
      </c>
      <c r="F24" s="4">
        <v>57</v>
      </c>
      <c r="G24" s="4">
        <v>53</v>
      </c>
      <c r="H24" s="4">
        <v>1213</v>
      </c>
      <c r="I24" s="4">
        <v>109.5</v>
      </c>
      <c r="J24" s="4">
        <v>52</v>
      </c>
      <c r="K24" s="4">
        <v>1080</v>
      </c>
      <c r="L24" s="4">
        <v>36</v>
      </c>
      <c r="M24" s="4">
        <v>55</v>
      </c>
      <c r="N24" s="4">
        <v>1206</v>
      </c>
      <c r="O24" s="4">
        <v>56</v>
      </c>
      <c r="P24" s="4">
        <v>56</v>
      </c>
      <c r="Q24" s="4">
        <v>1107</v>
      </c>
      <c r="R24" s="4">
        <v>70</v>
      </c>
      <c r="S24" s="4">
        <v>47</v>
      </c>
      <c r="T24" s="4">
        <v>815</v>
      </c>
      <c r="U24" s="4">
        <v>241.5</v>
      </c>
      <c r="V24" s="4">
        <v>57</v>
      </c>
      <c r="W24" s="4">
        <v>1289</v>
      </c>
      <c r="X24" s="4">
        <v>162</v>
      </c>
      <c r="Y24" s="4">
        <v>55</v>
      </c>
      <c r="Z24" s="4">
        <v>1098</v>
      </c>
      <c r="AA24" s="4">
        <v>403.5</v>
      </c>
      <c r="AB24" s="4">
        <v>57</v>
      </c>
      <c r="AC24" s="4">
        <v>1207</v>
      </c>
    </row>
    <row r="25" spans="1:29" x14ac:dyDescent="0.5">
      <c r="A25" s="2" t="s">
        <v>36</v>
      </c>
      <c r="B25" s="3">
        <v>23</v>
      </c>
      <c r="C25" s="4">
        <v>91</v>
      </c>
      <c r="D25" s="4">
        <v>43</v>
      </c>
      <c r="E25" s="4">
        <v>914</v>
      </c>
      <c r="F25" s="4">
        <v>103</v>
      </c>
      <c r="G25" s="4">
        <v>17</v>
      </c>
      <c r="H25" s="4">
        <v>331</v>
      </c>
      <c r="I25" s="4">
        <v>130</v>
      </c>
      <c r="J25" s="4">
        <v>15</v>
      </c>
      <c r="K25" s="4">
        <v>378</v>
      </c>
      <c r="L25" s="4">
        <v>75</v>
      </c>
      <c r="M25" s="4">
        <v>19</v>
      </c>
      <c r="N25" s="4">
        <v>353</v>
      </c>
      <c r="O25" s="4">
        <v>90</v>
      </c>
      <c r="P25" s="4">
        <v>6</v>
      </c>
      <c r="Q25" s="4">
        <v>98</v>
      </c>
      <c r="R25" s="4">
        <v>90</v>
      </c>
      <c r="S25" s="4">
        <v>11</v>
      </c>
      <c r="T25" s="4">
        <v>161</v>
      </c>
      <c r="U25" s="4">
        <v>324</v>
      </c>
      <c r="V25" s="4">
        <v>25</v>
      </c>
      <c r="W25" s="4">
        <v>430</v>
      </c>
      <c r="X25" s="4">
        <v>255</v>
      </c>
      <c r="Y25" s="4">
        <v>15</v>
      </c>
      <c r="Z25" s="4">
        <v>214</v>
      </c>
      <c r="AA25" s="4">
        <v>579</v>
      </c>
      <c r="AB25" s="4">
        <v>17</v>
      </c>
      <c r="AC25" s="4">
        <v>285</v>
      </c>
    </row>
    <row r="26" spans="1:29" x14ac:dyDescent="0.5">
      <c r="A26" s="2" t="s">
        <v>37</v>
      </c>
      <c r="B26" s="3">
        <v>24</v>
      </c>
      <c r="C26" s="4">
        <v>85</v>
      </c>
      <c r="D26" s="4">
        <v>49</v>
      </c>
      <c r="E26" s="4">
        <v>1148</v>
      </c>
      <c r="F26" s="4">
        <v>77</v>
      </c>
      <c r="G26" s="4">
        <v>44</v>
      </c>
      <c r="H26" s="4">
        <v>854</v>
      </c>
      <c r="I26" s="4">
        <v>130.5</v>
      </c>
      <c r="J26" s="4">
        <v>14</v>
      </c>
      <c r="K26" s="4">
        <v>363</v>
      </c>
      <c r="L26" s="4">
        <v>39</v>
      </c>
      <c r="M26" s="4">
        <v>53</v>
      </c>
      <c r="N26" s="4">
        <v>1136</v>
      </c>
      <c r="O26" s="4">
        <v>64</v>
      </c>
      <c r="P26" s="4">
        <v>48</v>
      </c>
      <c r="Q26" s="4">
        <v>928</v>
      </c>
      <c r="R26" s="4">
        <v>80</v>
      </c>
      <c r="S26" s="4">
        <v>33</v>
      </c>
      <c r="T26" s="4">
        <v>497</v>
      </c>
      <c r="U26" s="4">
        <v>292.5</v>
      </c>
      <c r="V26" s="4">
        <v>40</v>
      </c>
      <c r="W26" s="4">
        <v>821</v>
      </c>
      <c r="X26" s="4">
        <v>183</v>
      </c>
      <c r="Y26" s="4">
        <v>47</v>
      </c>
      <c r="Z26" s="4">
        <v>907</v>
      </c>
      <c r="AA26" s="4">
        <v>475.5</v>
      </c>
      <c r="AB26" s="4">
        <v>45</v>
      </c>
      <c r="AC26" s="4">
        <v>878</v>
      </c>
    </row>
    <row r="27" spans="1:29" x14ac:dyDescent="0.5">
      <c r="A27" s="2" t="s">
        <v>38</v>
      </c>
      <c r="B27" s="3">
        <v>25</v>
      </c>
      <c r="C27" s="4">
        <v>91</v>
      </c>
      <c r="D27" s="4">
        <v>43</v>
      </c>
      <c r="E27" s="4">
        <v>914</v>
      </c>
      <c r="F27" s="4">
        <v>123</v>
      </c>
      <c r="G27" s="4">
        <v>4</v>
      </c>
      <c r="H27" s="4">
        <v>81</v>
      </c>
      <c r="I27" s="4">
        <v>128.5</v>
      </c>
      <c r="J27" s="4">
        <v>21</v>
      </c>
      <c r="K27" s="4">
        <v>441</v>
      </c>
      <c r="L27" s="4">
        <v>98</v>
      </c>
      <c r="M27" s="4">
        <v>5</v>
      </c>
      <c r="N27" s="4">
        <v>53</v>
      </c>
      <c r="O27" s="4">
        <v>80</v>
      </c>
      <c r="P27" s="4">
        <v>25</v>
      </c>
      <c r="Q27" s="4">
        <v>411</v>
      </c>
      <c r="R27" s="4">
        <v>87</v>
      </c>
      <c r="S27" s="4">
        <v>16</v>
      </c>
      <c r="T27" s="4">
        <v>268</v>
      </c>
      <c r="U27" s="4">
        <v>342.5</v>
      </c>
      <c r="V27" s="4">
        <v>7</v>
      </c>
      <c r="W27" s="4">
        <v>208</v>
      </c>
      <c r="X27" s="4">
        <v>265</v>
      </c>
      <c r="Y27" s="4">
        <v>8</v>
      </c>
      <c r="Z27" s="4">
        <v>130</v>
      </c>
      <c r="AA27" s="4">
        <v>607.5</v>
      </c>
      <c r="AB27" s="4">
        <v>6</v>
      </c>
      <c r="AC27" s="4">
        <v>156</v>
      </c>
    </row>
    <row r="28" spans="1:29" x14ac:dyDescent="0.5">
      <c r="A28" s="2" t="s">
        <v>39</v>
      </c>
      <c r="B28" s="3">
        <v>26</v>
      </c>
      <c r="C28" s="4">
        <v>98</v>
      </c>
      <c r="D28" s="4">
        <v>28</v>
      </c>
      <c r="E28" s="4">
        <v>604</v>
      </c>
      <c r="F28" s="4">
        <v>87</v>
      </c>
      <c r="G28" s="4">
        <v>34</v>
      </c>
      <c r="H28" s="4">
        <v>660</v>
      </c>
      <c r="I28" s="4">
        <v>131.5</v>
      </c>
      <c r="J28" s="4">
        <v>13</v>
      </c>
      <c r="K28" s="4">
        <v>323</v>
      </c>
      <c r="L28" s="4">
        <v>60</v>
      </c>
      <c r="M28" s="4">
        <v>32</v>
      </c>
      <c r="N28" s="4">
        <v>683</v>
      </c>
      <c r="O28" s="4">
        <v>75</v>
      </c>
      <c r="P28" s="4">
        <v>34</v>
      </c>
      <c r="Q28" s="4">
        <v>590</v>
      </c>
      <c r="R28" s="4">
        <v>82</v>
      </c>
      <c r="S28" s="4">
        <v>30</v>
      </c>
      <c r="T28" s="4">
        <v>444</v>
      </c>
      <c r="U28" s="4">
        <v>316.5</v>
      </c>
      <c r="V28" s="4">
        <v>28</v>
      </c>
      <c r="W28" s="4">
        <v>511</v>
      </c>
      <c r="X28" s="4">
        <v>217</v>
      </c>
      <c r="Y28" s="4">
        <v>31</v>
      </c>
      <c r="Z28" s="4">
        <v>564</v>
      </c>
      <c r="AA28" s="4">
        <v>533.5</v>
      </c>
      <c r="AB28" s="4">
        <v>32</v>
      </c>
      <c r="AC28" s="4">
        <v>537</v>
      </c>
    </row>
    <row r="29" spans="1:29" x14ac:dyDescent="0.5">
      <c r="A29" s="2" t="s">
        <v>40</v>
      </c>
      <c r="B29" s="3">
        <v>27</v>
      </c>
      <c r="C29" s="4">
        <v>101</v>
      </c>
      <c r="D29" s="4">
        <v>24</v>
      </c>
      <c r="E29" s="4">
        <v>457</v>
      </c>
      <c r="F29" s="4">
        <v>47</v>
      </c>
      <c r="G29" s="4">
        <v>59</v>
      </c>
      <c r="H29" s="4">
        <v>1346</v>
      </c>
      <c r="I29" s="4">
        <v>113</v>
      </c>
      <c r="J29" s="4">
        <v>48</v>
      </c>
      <c r="K29" s="4">
        <v>970</v>
      </c>
      <c r="L29" s="4">
        <v>37</v>
      </c>
      <c r="M29" s="4">
        <v>54</v>
      </c>
      <c r="N29" s="4">
        <v>1187</v>
      </c>
      <c r="O29" s="4">
        <v>78</v>
      </c>
      <c r="P29" s="4">
        <v>28</v>
      </c>
      <c r="Q29" s="4">
        <v>460</v>
      </c>
      <c r="R29" s="4">
        <v>77</v>
      </c>
      <c r="S29" s="4">
        <v>39</v>
      </c>
      <c r="T29" s="4">
        <v>602</v>
      </c>
      <c r="U29" s="4">
        <v>261</v>
      </c>
      <c r="V29" s="4">
        <v>55</v>
      </c>
      <c r="W29" s="4">
        <v>1147</v>
      </c>
      <c r="X29" s="4">
        <v>192</v>
      </c>
      <c r="Y29" s="4">
        <v>45</v>
      </c>
      <c r="Z29" s="4">
        <v>820</v>
      </c>
      <c r="AA29" s="4">
        <v>453</v>
      </c>
      <c r="AB29" s="4">
        <v>50</v>
      </c>
      <c r="AC29" s="4">
        <v>1001</v>
      </c>
    </row>
    <row r="30" spans="1:29" x14ac:dyDescent="0.5">
      <c r="A30" s="2" t="s">
        <v>41</v>
      </c>
      <c r="B30" s="3">
        <v>28</v>
      </c>
      <c r="C30" s="4">
        <v>81</v>
      </c>
      <c r="D30" s="4">
        <v>52</v>
      </c>
      <c r="E30" s="4">
        <v>1254</v>
      </c>
      <c r="F30" s="4">
        <v>83</v>
      </c>
      <c r="G30" s="4">
        <v>37</v>
      </c>
      <c r="H30" s="4">
        <v>740</v>
      </c>
      <c r="I30" s="4">
        <v>112.5</v>
      </c>
      <c r="J30" s="4">
        <v>50</v>
      </c>
      <c r="K30" s="4">
        <v>986</v>
      </c>
      <c r="L30" s="4">
        <v>75</v>
      </c>
      <c r="M30" s="4">
        <v>19</v>
      </c>
      <c r="N30" s="4">
        <v>353</v>
      </c>
      <c r="O30" s="4">
        <v>71</v>
      </c>
      <c r="P30" s="4">
        <v>39</v>
      </c>
      <c r="Q30" s="4">
        <v>726</v>
      </c>
      <c r="R30" s="4">
        <v>77</v>
      </c>
      <c r="S30" s="4">
        <v>39</v>
      </c>
      <c r="T30" s="4">
        <v>602</v>
      </c>
      <c r="U30" s="4">
        <v>276.5</v>
      </c>
      <c r="V30" s="4">
        <v>50</v>
      </c>
      <c r="W30" s="4">
        <v>1007</v>
      </c>
      <c r="X30" s="4">
        <v>223</v>
      </c>
      <c r="Y30" s="4">
        <v>28</v>
      </c>
      <c r="Z30" s="4">
        <v>504</v>
      </c>
      <c r="AA30" s="4">
        <v>499.5</v>
      </c>
      <c r="AB30" s="4">
        <v>40</v>
      </c>
      <c r="AC30" s="4">
        <v>731</v>
      </c>
    </row>
    <row r="31" spans="1:29" x14ac:dyDescent="0.5">
      <c r="A31" s="2" t="s">
        <v>42</v>
      </c>
      <c r="B31" s="3">
        <v>29</v>
      </c>
      <c r="C31" s="4">
        <v>100</v>
      </c>
      <c r="D31" s="4">
        <v>26</v>
      </c>
      <c r="E31" s="4">
        <v>499</v>
      </c>
      <c r="F31" s="4">
        <v>96</v>
      </c>
      <c r="G31" s="4">
        <v>21</v>
      </c>
      <c r="H31" s="4">
        <v>459</v>
      </c>
      <c r="I31" s="4">
        <v>128.5</v>
      </c>
      <c r="J31" s="4">
        <v>21</v>
      </c>
      <c r="K31" s="4">
        <v>441</v>
      </c>
      <c r="L31" s="4">
        <v>83</v>
      </c>
      <c r="M31" s="4">
        <v>11</v>
      </c>
      <c r="N31" s="4">
        <v>213</v>
      </c>
      <c r="O31" s="4">
        <v>84</v>
      </c>
      <c r="P31" s="4">
        <v>18</v>
      </c>
      <c r="Q31" s="4">
        <v>279</v>
      </c>
      <c r="R31" s="4">
        <v>93</v>
      </c>
      <c r="S31" s="4">
        <v>7</v>
      </c>
      <c r="T31" s="4">
        <v>69</v>
      </c>
      <c r="U31" s="4">
        <v>324.5</v>
      </c>
      <c r="V31" s="4">
        <v>24</v>
      </c>
      <c r="W31" s="4">
        <v>424</v>
      </c>
      <c r="X31" s="4">
        <v>260</v>
      </c>
      <c r="Y31" s="4">
        <v>12</v>
      </c>
      <c r="Z31" s="4">
        <v>169</v>
      </c>
      <c r="AA31" s="4">
        <v>584.5</v>
      </c>
      <c r="AB31" s="4">
        <v>14</v>
      </c>
      <c r="AC31" s="4">
        <v>257</v>
      </c>
    </row>
    <row r="32" spans="1:29" x14ac:dyDescent="0.5">
      <c r="A32" s="2" t="s">
        <v>43</v>
      </c>
      <c r="B32" s="3">
        <v>30</v>
      </c>
      <c r="C32" s="4">
        <v>91</v>
      </c>
      <c r="D32" s="4">
        <v>43</v>
      </c>
      <c r="E32" s="4">
        <v>914</v>
      </c>
      <c r="F32" s="4">
        <v>89</v>
      </c>
      <c r="G32" s="4">
        <v>30</v>
      </c>
      <c r="H32" s="4">
        <v>619</v>
      </c>
      <c r="I32" s="4">
        <v>134</v>
      </c>
      <c r="J32" s="4">
        <v>11</v>
      </c>
      <c r="K32" s="4">
        <v>243</v>
      </c>
      <c r="L32" s="4">
        <v>65</v>
      </c>
      <c r="M32" s="4">
        <v>27</v>
      </c>
      <c r="N32" s="4">
        <v>570</v>
      </c>
      <c r="O32" s="4">
        <v>82</v>
      </c>
      <c r="P32" s="4">
        <v>20</v>
      </c>
      <c r="Q32" s="4">
        <v>347</v>
      </c>
      <c r="R32" s="4">
        <v>76</v>
      </c>
      <c r="S32" s="4">
        <v>41</v>
      </c>
      <c r="T32" s="4">
        <v>640</v>
      </c>
      <c r="U32" s="4">
        <v>314</v>
      </c>
      <c r="V32" s="4">
        <v>32</v>
      </c>
      <c r="W32" s="4">
        <v>540</v>
      </c>
      <c r="X32" s="4">
        <v>223</v>
      </c>
      <c r="Y32" s="4">
        <v>28</v>
      </c>
      <c r="Z32" s="4">
        <v>504</v>
      </c>
      <c r="AA32" s="4">
        <v>537</v>
      </c>
      <c r="AB32" s="4">
        <v>30</v>
      </c>
      <c r="AC32" s="4">
        <v>516</v>
      </c>
    </row>
    <row r="33" spans="1:29" x14ac:dyDescent="0.5">
      <c r="A33" s="2" t="s">
        <v>44</v>
      </c>
      <c r="B33" s="3">
        <v>31</v>
      </c>
      <c r="C33" s="4">
        <v>84</v>
      </c>
      <c r="D33" s="4">
        <v>50</v>
      </c>
      <c r="E33" s="4">
        <v>1173</v>
      </c>
      <c r="F33" s="4">
        <v>78</v>
      </c>
      <c r="G33" s="4">
        <v>42</v>
      </c>
      <c r="H33" s="4">
        <v>835</v>
      </c>
      <c r="I33" s="4">
        <v>105.5</v>
      </c>
      <c r="J33" s="4">
        <v>54</v>
      </c>
      <c r="K33" s="4">
        <v>1164</v>
      </c>
      <c r="L33" s="4">
        <v>48</v>
      </c>
      <c r="M33" s="4">
        <v>47</v>
      </c>
      <c r="N33" s="4">
        <v>948</v>
      </c>
      <c r="O33" s="4">
        <v>62</v>
      </c>
      <c r="P33" s="4">
        <v>51</v>
      </c>
      <c r="Q33" s="4">
        <v>987</v>
      </c>
      <c r="R33" s="4">
        <v>67</v>
      </c>
      <c r="S33" s="4">
        <v>51</v>
      </c>
      <c r="T33" s="4">
        <v>918</v>
      </c>
      <c r="U33" s="4">
        <v>267.5</v>
      </c>
      <c r="V33" s="4">
        <v>54</v>
      </c>
      <c r="W33" s="4">
        <v>1080</v>
      </c>
      <c r="X33" s="4">
        <v>177</v>
      </c>
      <c r="Y33" s="4">
        <v>49</v>
      </c>
      <c r="Z33" s="4">
        <v>968</v>
      </c>
      <c r="AA33" s="4">
        <v>444.5</v>
      </c>
      <c r="AB33" s="4">
        <v>54</v>
      </c>
      <c r="AC33" s="4">
        <v>1048</v>
      </c>
    </row>
    <row r="34" spans="1:29" x14ac:dyDescent="0.5">
      <c r="A34" s="2" t="s">
        <v>45</v>
      </c>
      <c r="B34" s="3">
        <v>32</v>
      </c>
      <c r="C34" s="4">
        <v>108</v>
      </c>
      <c r="D34" s="4">
        <v>13</v>
      </c>
      <c r="E34" s="4">
        <v>207</v>
      </c>
      <c r="F34" s="4">
        <v>104</v>
      </c>
      <c r="G34" s="4">
        <v>15</v>
      </c>
      <c r="H34" s="4">
        <v>314</v>
      </c>
      <c r="I34" s="4">
        <v>102.5</v>
      </c>
      <c r="J34" s="4">
        <v>56</v>
      </c>
      <c r="K34" s="4">
        <v>1213</v>
      </c>
      <c r="L34" s="4">
        <v>76</v>
      </c>
      <c r="M34" s="4">
        <v>18</v>
      </c>
      <c r="N34" s="4">
        <v>330</v>
      </c>
      <c r="O34" s="4">
        <v>80</v>
      </c>
      <c r="P34" s="4">
        <v>25</v>
      </c>
      <c r="Q34" s="4">
        <v>411</v>
      </c>
      <c r="R34" s="4">
        <v>78</v>
      </c>
      <c r="S34" s="4">
        <v>36</v>
      </c>
      <c r="T34" s="4">
        <v>568</v>
      </c>
      <c r="U34" s="4">
        <v>314.5</v>
      </c>
      <c r="V34" s="4">
        <v>30</v>
      </c>
      <c r="W34" s="4">
        <v>536</v>
      </c>
      <c r="X34" s="4">
        <v>234</v>
      </c>
      <c r="Y34" s="4">
        <v>23</v>
      </c>
      <c r="Z34" s="4">
        <v>407</v>
      </c>
      <c r="AA34" s="4">
        <v>548.5</v>
      </c>
      <c r="AB34" s="4">
        <v>23</v>
      </c>
      <c r="AC34" s="4">
        <v>449</v>
      </c>
    </row>
    <row r="35" spans="1:29" x14ac:dyDescent="0.5">
      <c r="A35" s="2" t="s">
        <v>46</v>
      </c>
      <c r="B35" s="3">
        <v>33</v>
      </c>
      <c r="C35" s="4">
        <v>112</v>
      </c>
      <c r="D35" s="4">
        <v>4</v>
      </c>
      <c r="E35" s="4">
        <v>104</v>
      </c>
      <c r="F35" s="4">
        <v>89</v>
      </c>
      <c r="G35" s="4">
        <v>30</v>
      </c>
      <c r="H35" s="4">
        <v>619</v>
      </c>
      <c r="I35" s="4">
        <v>130</v>
      </c>
      <c r="J35" s="4">
        <v>15</v>
      </c>
      <c r="K35" s="4">
        <v>378</v>
      </c>
      <c r="L35" s="4">
        <v>49</v>
      </c>
      <c r="M35" s="4">
        <v>44</v>
      </c>
      <c r="N35" s="4">
        <v>926</v>
      </c>
      <c r="O35" s="4">
        <v>68</v>
      </c>
      <c r="P35" s="4">
        <v>45</v>
      </c>
      <c r="Q35" s="4">
        <v>803</v>
      </c>
      <c r="R35" s="4">
        <v>70</v>
      </c>
      <c r="S35" s="4">
        <v>47</v>
      </c>
      <c r="T35" s="4">
        <v>815</v>
      </c>
      <c r="U35" s="4">
        <v>331</v>
      </c>
      <c r="V35" s="4">
        <v>18</v>
      </c>
      <c r="W35" s="4">
        <v>343</v>
      </c>
      <c r="X35" s="4">
        <v>187</v>
      </c>
      <c r="Y35" s="4">
        <v>46</v>
      </c>
      <c r="Z35" s="4">
        <v>870</v>
      </c>
      <c r="AA35" s="4">
        <v>518</v>
      </c>
      <c r="AB35" s="4">
        <v>36</v>
      </c>
      <c r="AC35" s="4">
        <v>628</v>
      </c>
    </row>
    <row r="36" spans="1:29" x14ac:dyDescent="0.5">
      <c r="A36" s="2" t="s">
        <v>47</v>
      </c>
      <c r="B36" s="3">
        <v>34</v>
      </c>
      <c r="C36" s="4">
        <v>84</v>
      </c>
      <c r="D36" s="4">
        <v>50</v>
      </c>
      <c r="E36" s="4">
        <v>1173</v>
      </c>
      <c r="F36" s="4">
        <v>85</v>
      </c>
      <c r="G36" s="4">
        <v>36</v>
      </c>
      <c r="H36" s="4">
        <v>707</v>
      </c>
      <c r="I36" s="4">
        <v>129</v>
      </c>
      <c r="J36" s="4">
        <v>19</v>
      </c>
      <c r="K36" s="4">
        <v>425</v>
      </c>
      <c r="L36" s="4">
        <v>30</v>
      </c>
      <c r="M36" s="4">
        <v>59</v>
      </c>
      <c r="N36" s="4">
        <v>1306</v>
      </c>
      <c r="O36" s="4">
        <v>64</v>
      </c>
      <c r="P36" s="4">
        <v>48</v>
      </c>
      <c r="Q36" s="4">
        <v>928</v>
      </c>
      <c r="R36" s="4">
        <v>57</v>
      </c>
      <c r="S36" s="4">
        <v>56</v>
      </c>
      <c r="T36" s="4">
        <v>1140</v>
      </c>
      <c r="U36" s="4">
        <v>298</v>
      </c>
      <c r="V36" s="4">
        <v>37</v>
      </c>
      <c r="W36" s="4">
        <v>752</v>
      </c>
      <c r="X36" s="4">
        <v>151</v>
      </c>
      <c r="Y36" s="4">
        <v>57</v>
      </c>
      <c r="Z36" s="4">
        <v>1178</v>
      </c>
      <c r="AA36" s="4">
        <v>449</v>
      </c>
      <c r="AB36" s="4">
        <v>52</v>
      </c>
      <c r="AC36" s="4">
        <v>1021</v>
      </c>
    </row>
    <row r="37" spans="1:29" x14ac:dyDescent="0.5">
      <c r="A37" s="2" t="s">
        <v>48</v>
      </c>
      <c r="B37" s="3">
        <v>35</v>
      </c>
      <c r="C37" s="4">
        <v>109</v>
      </c>
      <c r="D37" s="4">
        <v>10</v>
      </c>
      <c r="E37" s="4">
        <v>175</v>
      </c>
      <c r="F37" s="4">
        <v>129</v>
      </c>
      <c r="G37" s="4">
        <v>3</v>
      </c>
      <c r="H37" s="4">
        <v>43</v>
      </c>
      <c r="I37" s="4">
        <v>110.5</v>
      </c>
      <c r="J37" s="4">
        <v>51</v>
      </c>
      <c r="K37" s="4">
        <v>1041</v>
      </c>
      <c r="L37" s="4">
        <v>61</v>
      </c>
      <c r="M37" s="4">
        <v>30</v>
      </c>
      <c r="N37" s="4">
        <v>655</v>
      </c>
      <c r="O37" s="4">
        <v>83</v>
      </c>
      <c r="P37" s="4">
        <v>19</v>
      </c>
      <c r="Q37" s="4">
        <v>337</v>
      </c>
      <c r="R37" s="4">
        <v>91</v>
      </c>
      <c r="S37" s="4">
        <v>8</v>
      </c>
      <c r="T37" s="4">
        <v>128</v>
      </c>
      <c r="U37" s="4">
        <v>348.5</v>
      </c>
      <c r="V37" s="4">
        <v>4</v>
      </c>
      <c r="W37" s="4">
        <v>160</v>
      </c>
      <c r="X37" s="4">
        <v>235</v>
      </c>
      <c r="Y37" s="4">
        <v>22</v>
      </c>
      <c r="Z37" s="4">
        <v>403</v>
      </c>
      <c r="AA37" s="4">
        <v>583.5</v>
      </c>
      <c r="AB37" s="4">
        <v>15</v>
      </c>
      <c r="AC37" s="4">
        <v>261</v>
      </c>
    </row>
    <row r="38" spans="1:29" x14ac:dyDescent="0.5">
      <c r="A38" s="2" t="s">
        <v>49</v>
      </c>
      <c r="B38" s="3">
        <v>36</v>
      </c>
      <c r="C38" s="4">
        <v>91</v>
      </c>
      <c r="D38" s="4">
        <v>43</v>
      </c>
      <c r="E38" s="4">
        <v>914</v>
      </c>
      <c r="F38" s="4">
        <v>109</v>
      </c>
      <c r="G38" s="4">
        <v>11</v>
      </c>
      <c r="H38" s="4">
        <v>227</v>
      </c>
      <c r="I38" s="4">
        <v>138.5</v>
      </c>
      <c r="J38" s="4">
        <v>3</v>
      </c>
      <c r="K38" s="4">
        <v>94</v>
      </c>
      <c r="L38" s="4">
        <v>75</v>
      </c>
      <c r="M38" s="4">
        <v>19</v>
      </c>
      <c r="N38" s="4">
        <v>353</v>
      </c>
      <c r="O38" s="4">
        <v>94</v>
      </c>
      <c r="P38" s="4">
        <v>4</v>
      </c>
      <c r="Q38" s="4">
        <v>27</v>
      </c>
      <c r="R38" s="4">
        <v>98</v>
      </c>
      <c r="S38" s="4">
        <v>1</v>
      </c>
      <c r="T38" s="4">
        <v>2</v>
      </c>
      <c r="U38" s="4">
        <v>338.5</v>
      </c>
      <c r="V38" s="4">
        <v>10</v>
      </c>
      <c r="W38" s="4">
        <v>247</v>
      </c>
      <c r="X38" s="4">
        <v>267</v>
      </c>
      <c r="Y38" s="4">
        <v>7</v>
      </c>
      <c r="Z38" s="4">
        <v>118</v>
      </c>
      <c r="AA38" s="4">
        <v>605.5</v>
      </c>
      <c r="AB38" s="4">
        <v>8</v>
      </c>
      <c r="AC38" s="4">
        <v>160</v>
      </c>
    </row>
    <row r="39" spans="1:29" x14ac:dyDescent="0.5">
      <c r="A39" s="2" t="s">
        <v>50</v>
      </c>
      <c r="B39" s="3">
        <v>37</v>
      </c>
      <c r="C39" s="4">
        <v>107</v>
      </c>
      <c r="D39" s="4">
        <v>14</v>
      </c>
      <c r="E39" s="4">
        <v>243</v>
      </c>
      <c r="F39" s="4">
        <v>95</v>
      </c>
      <c r="G39" s="4">
        <v>22</v>
      </c>
      <c r="H39" s="4">
        <v>483</v>
      </c>
      <c r="I39" s="4">
        <v>134.5</v>
      </c>
      <c r="J39" s="4">
        <v>9</v>
      </c>
      <c r="K39" s="4">
        <v>231</v>
      </c>
      <c r="L39" s="4">
        <v>80</v>
      </c>
      <c r="M39" s="4">
        <v>15</v>
      </c>
      <c r="N39" s="4">
        <v>264</v>
      </c>
      <c r="O39" s="4">
        <v>86</v>
      </c>
      <c r="P39" s="4">
        <v>14</v>
      </c>
      <c r="Q39" s="4">
        <v>220</v>
      </c>
      <c r="R39" s="4">
        <v>94</v>
      </c>
      <c r="S39" s="4">
        <v>5</v>
      </c>
      <c r="T39" s="4">
        <v>50</v>
      </c>
      <c r="U39" s="4">
        <v>336.5</v>
      </c>
      <c r="V39" s="4">
        <v>13</v>
      </c>
      <c r="W39" s="4">
        <v>279</v>
      </c>
      <c r="X39" s="4">
        <v>260</v>
      </c>
      <c r="Y39" s="4">
        <v>12</v>
      </c>
      <c r="Z39" s="4">
        <v>169</v>
      </c>
      <c r="AA39" s="4">
        <v>596.5</v>
      </c>
      <c r="AB39" s="4">
        <v>11</v>
      </c>
      <c r="AC39" s="4">
        <v>194</v>
      </c>
    </row>
    <row r="40" spans="1:29" x14ac:dyDescent="0.5">
      <c r="A40" s="2" t="s">
        <v>51</v>
      </c>
      <c r="B40" s="3">
        <v>38</v>
      </c>
      <c r="C40" s="4">
        <v>94</v>
      </c>
      <c r="D40" s="4">
        <v>37</v>
      </c>
      <c r="E40" s="4">
        <v>795</v>
      </c>
      <c r="F40" s="4">
        <v>61</v>
      </c>
      <c r="G40" s="4">
        <v>52</v>
      </c>
      <c r="H40" s="4">
        <v>1151</v>
      </c>
      <c r="I40" s="4">
        <v>117</v>
      </c>
      <c r="J40" s="4">
        <v>42</v>
      </c>
      <c r="K40" s="4">
        <v>847</v>
      </c>
      <c r="L40" s="4">
        <v>43</v>
      </c>
      <c r="M40" s="4">
        <v>49</v>
      </c>
      <c r="N40" s="4">
        <v>1046</v>
      </c>
      <c r="O40" s="4">
        <v>70</v>
      </c>
      <c r="P40" s="4">
        <v>41</v>
      </c>
      <c r="Q40" s="4">
        <v>743</v>
      </c>
      <c r="R40" s="4">
        <v>80</v>
      </c>
      <c r="S40" s="4">
        <v>33</v>
      </c>
      <c r="T40" s="4">
        <v>497</v>
      </c>
      <c r="U40" s="4">
        <v>272</v>
      </c>
      <c r="V40" s="4">
        <v>51</v>
      </c>
      <c r="W40" s="4">
        <v>1048</v>
      </c>
      <c r="X40" s="4">
        <v>193</v>
      </c>
      <c r="Y40" s="4">
        <v>44</v>
      </c>
      <c r="Z40" s="4">
        <v>812</v>
      </c>
      <c r="AA40" s="4">
        <v>465</v>
      </c>
      <c r="AB40" s="4">
        <v>48</v>
      </c>
      <c r="AC40" s="4">
        <v>925</v>
      </c>
    </row>
    <row r="41" spans="1:29" x14ac:dyDescent="0.5">
      <c r="A41" s="2" t="s">
        <v>52</v>
      </c>
      <c r="B41" s="3">
        <v>39</v>
      </c>
      <c r="C41" s="4">
        <v>75</v>
      </c>
      <c r="D41" s="4">
        <v>55</v>
      </c>
      <c r="E41" s="4">
        <v>1345</v>
      </c>
      <c r="F41" s="4">
        <v>93</v>
      </c>
      <c r="G41" s="4">
        <v>26</v>
      </c>
      <c r="H41" s="4">
        <v>526</v>
      </c>
      <c r="I41" s="4">
        <v>101</v>
      </c>
      <c r="J41" s="4">
        <v>57</v>
      </c>
      <c r="K41" s="4">
        <v>1231</v>
      </c>
      <c r="L41" s="4">
        <v>55</v>
      </c>
      <c r="M41" s="4">
        <v>36</v>
      </c>
      <c r="N41" s="4">
        <v>810</v>
      </c>
      <c r="O41" s="4">
        <v>86</v>
      </c>
      <c r="P41" s="4">
        <v>14</v>
      </c>
      <c r="Q41" s="4">
        <v>220</v>
      </c>
      <c r="R41" s="4">
        <v>84</v>
      </c>
      <c r="S41" s="4">
        <v>23</v>
      </c>
      <c r="T41" s="4">
        <v>379</v>
      </c>
      <c r="U41" s="4">
        <v>269</v>
      </c>
      <c r="V41" s="4">
        <v>53</v>
      </c>
      <c r="W41" s="4">
        <v>1067</v>
      </c>
      <c r="X41" s="4">
        <v>225</v>
      </c>
      <c r="Y41" s="4">
        <v>26</v>
      </c>
      <c r="Z41" s="4">
        <v>485</v>
      </c>
      <c r="AA41" s="4">
        <v>494</v>
      </c>
      <c r="AB41" s="4">
        <v>42</v>
      </c>
      <c r="AC41" s="4">
        <v>761</v>
      </c>
    </row>
    <row r="42" spans="1:29" x14ac:dyDescent="0.5">
      <c r="A42" s="2" t="s">
        <v>53</v>
      </c>
      <c r="B42" s="3">
        <v>40</v>
      </c>
      <c r="C42" s="4">
        <v>96</v>
      </c>
      <c r="D42" s="4">
        <v>33</v>
      </c>
      <c r="E42" s="4">
        <v>696</v>
      </c>
      <c r="F42" s="4">
        <v>69</v>
      </c>
      <c r="G42" s="4">
        <v>48</v>
      </c>
      <c r="H42" s="4">
        <v>1027</v>
      </c>
      <c r="I42" s="4">
        <v>126</v>
      </c>
      <c r="J42" s="4">
        <v>26</v>
      </c>
      <c r="K42" s="4">
        <v>521</v>
      </c>
      <c r="L42" s="4">
        <v>52</v>
      </c>
      <c r="M42" s="4">
        <v>38</v>
      </c>
      <c r="N42" s="4">
        <v>860</v>
      </c>
      <c r="O42" s="4">
        <v>77</v>
      </c>
      <c r="P42" s="4">
        <v>30</v>
      </c>
      <c r="Q42" s="4">
        <v>518</v>
      </c>
      <c r="R42" s="4">
        <v>83</v>
      </c>
      <c r="S42" s="4">
        <v>26</v>
      </c>
      <c r="T42" s="4">
        <v>407</v>
      </c>
      <c r="U42" s="4">
        <v>291</v>
      </c>
      <c r="V42" s="4">
        <v>42</v>
      </c>
      <c r="W42" s="4">
        <v>849</v>
      </c>
      <c r="X42" s="4">
        <v>212</v>
      </c>
      <c r="Y42" s="4">
        <v>33</v>
      </c>
      <c r="Z42" s="4">
        <v>615</v>
      </c>
      <c r="AA42" s="4">
        <v>503</v>
      </c>
      <c r="AB42" s="4">
        <v>38</v>
      </c>
      <c r="AC42" s="4">
        <v>711</v>
      </c>
    </row>
    <row r="43" spans="1:29" x14ac:dyDescent="0.5">
      <c r="A43" s="2" t="s">
        <v>54</v>
      </c>
      <c r="B43" s="3">
        <v>41</v>
      </c>
      <c r="C43" s="4">
        <v>94</v>
      </c>
      <c r="D43" s="4">
        <v>37</v>
      </c>
      <c r="E43" s="4">
        <v>795</v>
      </c>
      <c r="F43" s="4">
        <v>115</v>
      </c>
      <c r="G43" s="4">
        <v>7</v>
      </c>
      <c r="H43" s="4">
        <v>147</v>
      </c>
      <c r="I43" s="4">
        <v>115</v>
      </c>
      <c r="J43" s="4">
        <v>44</v>
      </c>
      <c r="K43" s="4">
        <v>916</v>
      </c>
      <c r="L43" s="4">
        <v>93</v>
      </c>
      <c r="M43" s="4">
        <v>6</v>
      </c>
      <c r="N43" s="4">
        <v>88</v>
      </c>
      <c r="O43" s="4">
        <v>96</v>
      </c>
      <c r="P43" s="4">
        <v>2</v>
      </c>
      <c r="Q43" s="4">
        <v>11</v>
      </c>
      <c r="R43" s="4">
        <v>94</v>
      </c>
      <c r="S43" s="4">
        <v>5</v>
      </c>
      <c r="T43" s="4">
        <v>50</v>
      </c>
      <c r="U43" s="4">
        <v>324</v>
      </c>
      <c r="V43" s="4">
        <v>25</v>
      </c>
      <c r="W43" s="4">
        <v>430</v>
      </c>
      <c r="X43" s="4">
        <v>283</v>
      </c>
      <c r="Y43" s="4">
        <v>3</v>
      </c>
      <c r="Z43" s="4">
        <v>39</v>
      </c>
      <c r="AA43" s="4">
        <v>607</v>
      </c>
      <c r="AB43" s="4">
        <v>7</v>
      </c>
      <c r="AC43" s="4">
        <v>157</v>
      </c>
    </row>
    <row r="44" spans="1:29" x14ac:dyDescent="0.5">
      <c r="A44" s="2" t="s">
        <v>55</v>
      </c>
      <c r="B44" s="3">
        <v>42</v>
      </c>
      <c r="C44" s="4">
        <v>77</v>
      </c>
      <c r="D44" s="4">
        <v>54</v>
      </c>
      <c r="E44" s="4">
        <v>1325</v>
      </c>
      <c r="F44" s="4">
        <v>121</v>
      </c>
      <c r="G44" s="4">
        <v>6</v>
      </c>
      <c r="H44" s="4">
        <v>100</v>
      </c>
      <c r="I44" s="4">
        <v>121.5</v>
      </c>
      <c r="J44" s="4">
        <v>38</v>
      </c>
      <c r="K44" s="4">
        <v>691</v>
      </c>
      <c r="L44" s="4">
        <v>65</v>
      </c>
      <c r="M44" s="4">
        <v>27</v>
      </c>
      <c r="N44" s="4">
        <v>570</v>
      </c>
      <c r="O44" s="4">
        <v>82</v>
      </c>
      <c r="P44" s="4">
        <v>20</v>
      </c>
      <c r="Q44" s="4">
        <v>347</v>
      </c>
      <c r="R44" s="4">
        <v>91</v>
      </c>
      <c r="S44" s="4">
        <v>8</v>
      </c>
      <c r="T44" s="4">
        <v>128</v>
      </c>
      <c r="U44" s="4">
        <v>319.5</v>
      </c>
      <c r="V44" s="4">
        <v>27</v>
      </c>
      <c r="W44" s="4">
        <v>482</v>
      </c>
      <c r="X44" s="4">
        <v>238</v>
      </c>
      <c r="Y44" s="4">
        <v>20</v>
      </c>
      <c r="Z44" s="4">
        <v>363</v>
      </c>
      <c r="AA44" s="4">
        <v>557.5</v>
      </c>
      <c r="AB44" s="4">
        <v>20</v>
      </c>
      <c r="AC44" s="4">
        <v>390</v>
      </c>
    </row>
    <row r="45" spans="1:29" x14ac:dyDescent="0.5">
      <c r="A45" s="2" t="s">
        <v>56</v>
      </c>
      <c r="B45" s="3">
        <v>43</v>
      </c>
      <c r="C45" s="4">
        <v>104</v>
      </c>
      <c r="D45" s="4">
        <v>20</v>
      </c>
      <c r="E45" s="4">
        <v>339</v>
      </c>
      <c r="F45" s="4">
        <v>94</v>
      </c>
      <c r="G45" s="4">
        <v>25</v>
      </c>
      <c r="H45" s="4">
        <v>510</v>
      </c>
      <c r="I45" s="4">
        <v>130</v>
      </c>
      <c r="J45" s="4">
        <v>15</v>
      </c>
      <c r="K45" s="4">
        <v>378</v>
      </c>
      <c r="L45" s="4">
        <v>32</v>
      </c>
      <c r="M45" s="4">
        <v>57</v>
      </c>
      <c r="N45" s="4">
        <v>1272</v>
      </c>
      <c r="O45" s="4">
        <v>76</v>
      </c>
      <c r="P45" s="4">
        <v>32</v>
      </c>
      <c r="Q45" s="4">
        <v>534</v>
      </c>
      <c r="R45" s="4">
        <v>87</v>
      </c>
      <c r="S45" s="4">
        <v>16</v>
      </c>
      <c r="T45" s="4">
        <v>268</v>
      </c>
      <c r="U45" s="4">
        <v>328</v>
      </c>
      <c r="V45" s="4">
        <v>23</v>
      </c>
      <c r="W45" s="4">
        <v>371</v>
      </c>
      <c r="X45" s="4">
        <v>195</v>
      </c>
      <c r="Y45" s="4">
        <v>43</v>
      </c>
      <c r="Z45" s="4">
        <v>796</v>
      </c>
      <c r="AA45" s="4">
        <v>523</v>
      </c>
      <c r="AB45" s="4">
        <v>34</v>
      </c>
      <c r="AC45" s="4">
        <v>600</v>
      </c>
    </row>
    <row r="46" spans="1:29" x14ac:dyDescent="0.5">
      <c r="A46" s="2" t="s">
        <v>57</v>
      </c>
      <c r="B46" s="3">
        <v>44</v>
      </c>
      <c r="C46" s="4">
        <v>114</v>
      </c>
      <c r="D46" s="4">
        <v>2</v>
      </c>
      <c r="E46" s="4">
        <v>61</v>
      </c>
      <c r="F46" s="4">
        <v>133</v>
      </c>
      <c r="G46" s="4">
        <v>1</v>
      </c>
      <c r="H46" s="4">
        <v>28</v>
      </c>
      <c r="I46" s="4">
        <v>141</v>
      </c>
      <c r="J46" s="4">
        <v>1</v>
      </c>
      <c r="K46" s="4">
        <v>49</v>
      </c>
      <c r="L46" s="4">
        <v>101</v>
      </c>
      <c r="M46" s="4">
        <v>3</v>
      </c>
      <c r="N46" s="4">
        <v>34</v>
      </c>
      <c r="O46" s="4">
        <v>90</v>
      </c>
      <c r="P46" s="4">
        <v>6</v>
      </c>
      <c r="Q46" s="4">
        <v>98</v>
      </c>
      <c r="R46" s="4">
        <v>90</v>
      </c>
      <c r="S46" s="4">
        <v>11</v>
      </c>
      <c r="T46" s="4">
        <v>161</v>
      </c>
      <c r="U46" s="4">
        <v>388</v>
      </c>
      <c r="V46" s="4">
        <v>1</v>
      </c>
      <c r="W46" s="4">
        <v>14</v>
      </c>
      <c r="X46" s="4">
        <v>281</v>
      </c>
      <c r="Y46" s="4">
        <v>4</v>
      </c>
      <c r="Z46" s="4">
        <v>45</v>
      </c>
      <c r="AA46" s="4">
        <v>669</v>
      </c>
      <c r="AB46" s="4">
        <v>1</v>
      </c>
      <c r="AC46" s="4">
        <v>16</v>
      </c>
    </row>
    <row r="47" spans="1:29" x14ac:dyDescent="0.5">
      <c r="A47" s="2" t="s">
        <v>58</v>
      </c>
      <c r="B47" s="3">
        <v>45</v>
      </c>
      <c r="C47" s="4">
        <v>93</v>
      </c>
      <c r="D47" s="4">
        <v>39</v>
      </c>
      <c r="E47" s="4">
        <v>824</v>
      </c>
      <c r="F47" s="4">
        <v>112</v>
      </c>
      <c r="G47" s="4">
        <v>8</v>
      </c>
      <c r="H47" s="4">
        <v>181</v>
      </c>
      <c r="I47" s="4">
        <v>138</v>
      </c>
      <c r="J47" s="4">
        <v>6</v>
      </c>
      <c r="K47" s="4">
        <v>114</v>
      </c>
      <c r="L47" s="4">
        <v>72</v>
      </c>
      <c r="M47" s="4">
        <v>23</v>
      </c>
      <c r="N47" s="4">
        <v>427</v>
      </c>
      <c r="O47" s="4">
        <v>82</v>
      </c>
      <c r="P47" s="4">
        <v>20</v>
      </c>
      <c r="Q47" s="4">
        <v>347</v>
      </c>
      <c r="R47" s="4">
        <v>82</v>
      </c>
      <c r="S47" s="4">
        <v>30</v>
      </c>
      <c r="T47" s="4">
        <v>444</v>
      </c>
      <c r="U47" s="4">
        <v>343</v>
      </c>
      <c r="V47" s="4">
        <v>6</v>
      </c>
      <c r="W47" s="4">
        <v>202</v>
      </c>
      <c r="X47" s="4">
        <v>236</v>
      </c>
      <c r="Y47" s="4">
        <v>21</v>
      </c>
      <c r="Z47" s="4">
        <v>389</v>
      </c>
      <c r="AA47" s="4">
        <v>579</v>
      </c>
      <c r="AB47" s="4">
        <v>17</v>
      </c>
      <c r="AC47" s="4">
        <v>285</v>
      </c>
    </row>
    <row r="48" spans="1:29" x14ac:dyDescent="0.5">
      <c r="A48" s="2" t="s">
        <v>59</v>
      </c>
      <c r="B48" s="3">
        <v>46</v>
      </c>
      <c r="C48" s="4">
        <v>91</v>
      </c>
      <c r="D48" s="4">
        <v>43</v>
      </c>
      <c r="E48" s="4">
        <v>914</v>
      </c>
      <c r="F48" s="4">
        <v>80</v>
      </c>
      <c r="G48" s="4">
        <v>40</v>
      </c>
      <c r="H48" s="4">
        <v>800</v>
      </c>
      <c r="I48" s="4">
        <v>107.5</v>
      </c>
      <c r="J48" s="4">
        <v>53</v>
      </c>
      <c r="K48" s="4">
        <v>1126</v>
      </c>
      <c r="L48" s="4">
        <v>51</v>
      </c>
      <c r="M48" s="4">
        <v>40</v>
      </c>
      <c r="N48" s="4">
        <v>883</v>
      </c>
      <c r="O48" s="4">
        <v>64</v>
      </c>
      <c r="P48" s="4">
        <v>48</v>
      </c>
      <c r="Q48" s="4">
        <v>928</v>
      </c>
      <c r="R48" s="4">
        <v>61</v>
      </c>
      <c r="S48" s="4">
        <v>55</v>
      </c>
      <c r="T48" s="4">
        <v>1059</v>
      </c>
      <c r="U48" s="4">
        <v>278.5</v>
      </c>
      <c r="V48" s="4">
        <v>49</v>
      </c>
      <c r="W48" s="4">
        <v>981</v>
      </c>
      <c r="X48" s="4">
        <v>176</v>
      </c>
      <c r="Y48" s="4">
        <v>51</v>
      </c>
      <c r="Z48" s="4">
        <v>975</v>
      </c>
      <c r="AA48" s="4">
        <v>454.5</v>
      </c>
      <c r="AB48" s="4">
        <v>49</v>
      </c>
      <c r="AC48" s="4">
        <v>992</v>
      </c>
    </row>
    <row r="49" spans="1:29" x14ac:dyDescent="0.5">
      <c r="A49" s="2" t="s">
        <v>60</v>
      </c>
      <c r="B49" s="3">
        <v>47</v>
      </c>
      <c r="C49" s="4">
        <v>96</v>
      </c>
      <c r="D49" s="4">
        <v>33</v>
      </c>
      <c r="E49" s="4">
        <v>696</v>
      </c>
      <c r="F49" s="4">
        <v>83</v>
      </c>
      <c r="G49" s="4">
        <v>37</v>
      </c>
      <c r="H49" s="4">
        <v>740</v>
      </c>
      <c r="I49" s="4">
        <v>128.5</v>
      </c>
      <c r="J49" s="4">
        <v>21</v>
      </c>
      <c r="K49" s="4">
        <v>441</v>
      </c>
      <c r="L49" s="4">
        <v>53</v>
      </c>
      <c r="M49" s="4">
        <v>37</v>
      </c>
      <c r="N49" s="4">
        <v>843</v>
      </c>
      <c r="O49" s="4">
        <v>59</v>
      </c>
      <c r="P49" s="4">
        <v>53</v>
      </c>
      <c r="Q49" s="4">
        <v>1061</v>
      </c>
      <c r="R49" s="4">
        <v>65</v>
      </c>
      <c r="S49" s="4">
        <v>53</v>
      </c>
      <c r="T49" s="4">
        <v>962</v>
      </c>
      <c r="U49" s="4">
        <v>307.5</v>
      </c>
      <c r="V49" s="4">
        <v>34</v>
      </c>
      <c r="W49" s="4">
        <v>621</v>
      </c>
      <c r="X49" s="4">
        <v>177</v>
      </c>
      <c r="Y49" s="4">
        <v>49</v>
      </c>
      <c r="Z49" s="4">
        <v>968</v>
      </c>
      <c r="AA49" s="4">
        <v>484.5</v>
      </c>
      <c r="AB49" s="4">
        <v>43</v>
      </c>
      <c r="AC49" s="4">
        <v>826</v>
      </c>
    </row>
    <row r="50" spans="1:29" x14ac:dyDescent="0.5">
      <c r="A50" s="2" t="s">
        <v>61</v>
      </c>
      <c r="B50" s="3">
        <v>48</v>
      </c>
      <c r="C50" s="4">
        <v>111</v>
      </c>
      <c r="D50" s="4">
        <v>7</v>
      </c>
      <c r="E50" s="4">
        <v>131</v>
      </c>
      <c r="F50" s="4">
        <v>54</v>
      </c>
      <c r="G50" s="4">
        <v>55</v>
      </c>
      <c r="H50" s="4">
        <v>1268</v>
      </c>
      <c r="I50" s="4">
        <v>105</v>
      </c>
      <c r="J50" s="4">
        <v>55</v>
      </c>
      <c r="K50" s="4">
        <v>1172</v>
      </c>
      <c r="L50" s="4">
        <v>43</v>
      </c>
      <c r="M50" s="4">
        <v>49</v>
      </c>
      <c r="N50" s="4">
        <v>1046</v>
      </c>
      <c r="O50" s="4">
        <v>77</v>
      </c>
      <c r="P50" s="4">
        <v>30</v>
      </c>
      <c r="Q50" s="4">
        <v>518</v>
      </c>
      <c r="R50" s="4">
        <v>83</v>
      </c>
      <c r="S50" s="4">
        <v>26</v>
      </c>
      <c r="T50" s="4">
        <v>407</v>
      </c>
      <c r="U50" s="4">
        <v>270</v>
      </c>
      <c r="V50" s="4">
        <v>52</v>
      </c>
      <c r="W50" s="4">
        <v>1061</v>
      </c>
      <c r="X50" s="4">
        <v>203</v>
      </c>
      <c r="Y50" s="4">
        <v>39</v>
      </c>
      <c r="Z50" s="4">
        <v>703</v>
      </c>
      <c r="AA50" s="4">
        <v>473</v>
      </c>
      <c r="AB50" s="4">
        <v>46</v>
      </c>
      <c r="AC50" s="4">
        <v>891</v>
      </c>
    </row>
    <row r="51" spans="1:29" x14ac:dyDescent="0.5">
      <c r="A51" s="2" t="s">
        <v>62</v>
      </c>
      <c r="B51" s="3">
        <v>49</v>
      </c>
      <c r="C51" s="4">
        <v>110</v>
      </c>
      <c r="D51" s="4">
        <v>8</v>
      </c>
      <c r="E51" s="4">
        <v>151</v>
      </c>
      <c r="F51" s="4">
        <v>108</v>
      </c>
      <c r="G51" s="4">
        <v>13</v>
      </c>
      <c r="H51" s="4">
        <v>244</v>
      </c>
      <c r="I51" s="4">
        <v>117</v>
      </c>
      <c r="J51" s="4">
        <v>42</v>
      </c>
      <c r="K51" s="4">
        <v>847</v>
      </c>
      <c r="L51" s="4">
        <v>85</v>
      </c>
      <c r="M51" s="4">
        <v>10</v>
      </c>
      <c r="N51" s="4">
        <v>189</v>
      </c>
      <c r="O51" s="4">
        <v>88</v>
      </c>
      <c r="P51" s="4">
        <v>9</v>
      </c>
      <c r="Q51" s="4">
        <v>158</v>
      </c>
      <c r="R51" s="4">
        <v>89</v>
      </c>
      <c r="S51" s="4">
        <v>13</v>
      </c>
      <c r="T51" s="4">
        <v>191</v>
      </c>
      <c r="U51" s="4">
        <v>335</v>
      </c>
      <c r="V51" s="4">
        <v>14</v>
      </c>
      <c r="W51" s="4">
        <v>295</v>
      </c>
      <c r="X51" s="4">
        <v>262</v>
      </c>
      <c r="Y51" s="4">
        <v>11</v>
      </c>
      <c r="Z51" s="4">
        <v>154</v>
      </c>
      <c r="AA51" s="4">
        <v>597</v>
      </c>
      <c r="AB51" s="4">
        <v>10</v>
      </c>
      <c r="AC51" s="4">
        <v>191</v>
      </c>
    </row>
    <row r="52" spans="1:29" x14ac:dyDescent="0.5">
      <c r="A52" s="2" t="s">
        <v>63</v>
      </c>
      <c r="B52" s="3">
        <v>50</v>
      </c>
      <c r="C52" s="4">
        <v>112</v>
      </c>
      <c r="D52" s="4">
        <v>4</v>
      </c>
      <c r="E52" s="4">
        <v>104</v>
      </c>
      <c r="F52" s="4">
        <v>95</v>
      </c>
      <c r="G52" s="4">
        <v>22</v>
      </c>
      <c r="H52" s="4">
        <v>483</v>
      </c>
      <c r="I52" s="4">
        <v>125</v>
      </c>
      <c r="J52" s="4">
        <v>30</v>
      </c>
      <c r="K52" s="4">
        <v>555</v>
      </c>
      <c r="L52" s="4">
        <v>101</v>
      </c>
      <c r="M52" s="4">
        <v>3</v>
      </c>
      <c r="N52" s="4">
        <v>34</v>
      </c>
      <c r="O52" s="4">
        <v>96</v>
      </c>
      <c r="P52" s="4">
        <v>2</v>
      </c>
      <c r="Q52" s="4">
        <v>11</v>
      </c>
      <c r="R52" s="4">
        <v>98</v>
      </c>
      <c r="S52" s="4">
        <v>1</v>
      </c>
      <c r="T52" s="4">
        <v>2</v>
      </c>
      <c r="U52" s="4">
        <v>332</v>
      </c>
      <c r="V52" s="4">
        <v>16</v>
      </c>
      <c r="W52" s="4">
        <v>328</v>
      </c>
      <c r="X52" s="4">
        <v>295</v>
      </c>
      <c r="Y52" s="4">
        <v>1</v>
      </c>
      <c r="Z52" s="4">
        <v>5</v>
      </c>
      <c r="AA52" s="4">
        <v>627</v>
      </c>
      <c r="AB52" s="4">
        <v>5</v>
      </c>
      <c r="AC52" s="4">
        <v>92</v>
      </c>
    </row>
    <row r="53" spans="1:29" x14ac:dyDescent="0.5">
      <c r="A53" s="2" t="s">
        <v>64</v>
      </c>
      <c r="B53" s="3">
        <v>51</v>
      </c>
      <c r="C53" s="4">
        <v>103</v>
      </c>
      <c r="D53" s="4">
        <v>22</v>
      </c>
      <c r="E53" s="4">
        <v>374</v>
      </c>
      <c r="F53" s="4">
        <v>107</v>
      </c>
      <c r="G53" s="4">
        <v>14</v>
      </c>
      <c r="H53" s="4">
        <v>258</v>
      </c>
      <c r="I53" s="4">
        <v>120</v>
      </c>
      <c r="J53" s="4">
        <v>39</v>
      </c>
      <c r="K53" s="4">
        <v>752</v>
      </c>
      <c r="L53" s="4">
        <v>81</v>
      </c>
      <c r="M53" s="4">
        <v>14</v>
      </c>
      <c r="N53" s="4">
        <v>251</v>
      </c>
      <c r="O53" s="4">
        <v>86</v>
      </c>
      <c r="P53" s="4">
        <v>14</v>
      </c>
      <c r="Q53" s="4">
        <v>220</v>
      </c>
      <c r="R53" s="4">
        <v>97</v>
      </c>
      <c r="S53" s="4">
        <v>3</v>
      </c>
      <c r="T53" s="4">
        <v>10</v>
      </c>
      <c r="U53" s="4">
        <v>330</v>
      </c>
      <c r="V53" s="4">
        <v>20</v>
      </c>
      <c r="W53" s="4">
        <v>349</v>
      </c>
      <c r="X53" s="4">
        <v>264</v>
      </c>
      <c r="Y53" s="4">
        <v>10</v>
      </c>
      <c r="Z53" s="4">
        <v>136</v>
      </c>
      <c r="AA53" s="4">
        <v>594</v>
      </c>
      <c r="AB53" s="4">
        <v>12</v>
      </c>
      <c r="AC53" s="4">
        <v>206</v>
      </c>
    </row>
    <row r="54" spans="1:29" x14ac:dyDescent="0.5">
      <c r="A54" s="2" t="s">
        <v>65</v>
      </c>
      <c r="B54" s="3">
        <v>52</v>
      </c>
      <c r="C54" s="4">
        <v>79</v>
      </c>
      <c r="D54" s="4">
        <v>53</v>
      </c>
      <c r="E54" s="4">
        <v>1288</v>
      </c>
      <c r="F54" s="4">
        <v>53</v>
      </c>
      <c r="G54" s="4">
        <v>56</v>
      </c>
      <c r="H54" s="4">
        <v>1280</v>
      </c>
      <c r="I54" s="4">
        <v>113.5</v>
      </c>
      <c r="J54" s="4">
        <v>47</v>
      </c>
      <c r="K54" s="4">
        <v>959</v>
      </c>
      <c r="L54" s="4">
        <v>41</v>
      </c>
      <c r="M54" s="4">
        <v>52</v>
      </c>
      <c r="N54" s="4">
        <v>1096</v>
      </c>
      <c r="O54" s="4">
        <v>56</v>
      </c>
      <c r="P54" s="4">
        <v>56</v>
      </c>
      <c r="Q54" s="4">
        <v>1107</v>
      </c>
      <c r="R54" s="4">
        <v>69</v>
      </c>
      <c r="S54" s="4">
        <v>49</v>
      </c>
      <c r="T54" s="4">
        <v>855</v>
      </c>
      <c r="U54" s="4">
        <v>245.5</v>
      </c>
      <c r="V54" s="4">
        <v>56</v>
      </c>
      <c r="W54" s="4">
        <v>1265</v>
      </c>
      <c r="X54" s="4">
        <v>166</v>
      </c>
      <c r="Y54" s="4">
        <v>53</v>
      </c>
      <c r="Z54" s="4">
        <v>1071</v>
      </c>
      <c r="AA54" s="4">
        <v>411.5</v>
      </c>
      <c r="AB54" s="4">
        <v>56</v>
      </c>
      <c r="AC54" s="4">
        <v>1174</v>
      </c>
    </row>
    <row r="55" spans="1:29" x14ac:dyDescent="0.5">
      <c r="A55" s="2" t="s">
        <v>66</v>
      </c>
      <c r="B55" s="3">
        <v>53</v>
      </c>
      <c r="C55" s="4">
        <v>105</v>
      </c>
      <c r="D55" s="4">
        <v>16</v>
      </c>
      <c r="E55" s="4">
        <v>307</v>
      </c>
      <c r="F55" s="4">
        <v>104</v>
      </c>
      <c r="G55" s="4">
        <v>15</v>
      </c>
      <c r="H55" s="4">
        <v>314</v>
      </c>
      <c r="I55" s="4">
        <v>129</v>
      </c>
      <c r="J55" s="4">
        <v>19</v>
      </c>
      <c r="K55" s="4">
        <v>425</v>
      </c>
      <c r="L55" s="4">
        <v>51</v>
      </c>
      <c r="M55" s="4">
        <v>40</v>
      </c>
      <c r="N55" s="4">
        <v>883</v>
      </c>
      <c r="O55" s="4">
        <v>82</v>
      </c>
      <c r="P55" s="4">
        <v>20</v>
      </c>
      <c r="Q55" s="4">
        <v>347</v>
      </c>
      <c r="R55" s="4">
        <v>86</v>
      </c>
      <c r="S55" s="4">
        <v>18</v>
      </c>
      <c r="T55" s="4">
        <v>301</v>
      </c>
      <c r="U55" s="4">
        <v>338</v>
      </c>
      <c r="V55" s="4">
        <v>12</v>
      </c>
      <c r="W55" s="4">
        <v>252</v>
      </c>
      <c r="X55" s="4">
        <v>219</v>
      </c>
      <c r="Y55" s="4">
        <v>30</v>
      </c>
      <c r="Z55" s="4">
        <v>545</v>
      </c>
      <c r="AA55" s="4">
        <v>557</v>
      </c>
      <c r="AB55" s="4">
        <v>21</v>
      </c>
      <c r="AC55" s="4">
        <v>393</v>
      </c>
    </row>
    <row r="56" spans="1:29" x14ac:dyDescent="0.5">
      <c r="A56" s="2" t="s">
        <v>67</v>
      </c>
      <c r="B56" s="3">
        <v>54</v>
      </c>
      <c r="C56" s="4">
        <v>61</v>
      </c>
      <c r="D56" s="4">
        <v>59</v>
      </c>
      <c r="E56" s="4">
        <v>1412</v>
      </c>
      <c r="F56" s="4">
        <v>49</v>
      </c>
      <c r="G56" s="4">
        <v>58</v>
      </c>
      <c r="H56" s="4">
        <v>1328</v>
      </c>
      <c r="I56" s="4">
        <v>126</v>
      </c>
      <c r="J56" s="4">
        <v>26</v>
      </c>
      <c r="K56" s="4">
        <v>521</v>
      </c>
      <c r="L56" s="4">
        <v>46</v>
      </c>
      <c r="M56" s="4">
        <v>48</v>
      </c>
      <c r="N56" s="4">
        <v>986</v>
      </c>
      <c r="O56" s="4">
        <v>58</v>
      </c>
      <c r="P56" s="4">
        <v>54</v>
      </c>
      <c r="Q56" s="4">
        <v>1069</v>
      </c>
      <c r="R56" s="4">
        <v>44</v>
      </c>
      <c r="S56" s="4">
        <v>59</v>
      </c>
      <c r="T56" s="4">
        <v>1348</v>
      </c>
      <c r="U56" s="4">
        <v>236</v>
      </c>
      <c r="V56" s="4">
        <v>58</v>
      </c>
      <c r="W56" s="4">
        <v>1314</v>
      </c>
      <c r="X56" s="4">
        <v>148</v>
      </c>
      <c r="Y56" s="4">
        <v>59</v>
      </c>
      <c r="Z56" s="4">
        <v>1207</v>
      </c>
      <c r="AA56" s="4">
        <v>384</v>
      </c>
      <c r="AB56" s="4">
        <v>58</v>
      </c>
      <c r="AC56" s="4">
        <v>1284</v>
      </c>
    </row>
    <row r="57" spans="1:29" x14ac:dyDescent="0.5">
      <c r="A57" s="2" t="s">
        <v>68</v>
      </c>
      <c r="B57" s="3">
        <v>55</v>
      </c>
      <c r="C57" s="4">
        <v>110</v>
      </c>
      <c r="D57" s="4">
        <v>8</v>
      </c>
      <c r="E57" s="4">
        <v>151</v>
      </c>
      <c r="F57" s="4">
        <v>97</v>
      </c>
      <c r="G57" s="4">
        <v>19</v>
      </c>
      <c r="H57" s="4">
        <v>437</v>
      </c>
      <c r="I57" s="4">
        <v>127</v>
      </c>
      <c r="J57" s="4">
        <v>25</v>
      </c>
      <c r="K57" s="4">
        <v>490</v>
      </c>
      <c r="L57" s="4">
        <v>90</v>
      </c>
      <c r="M57" s="4">
        <v>7</v>
      </c>
      <c r="N57" s="4">
        <v>120</v>
      </c>
      <c r="O57" s="4">
        <v>86</v>
      </c>
      <c r="P57" s="4">
        <v>14</v>
      </c>
      <c r="Q57" s="4">
        <v>220</v>
      </c>
      <c r="R57" s="4">
        <v>84</v>
      </c>
      <c r="S57" s="4">
        <v>23</v>
      </c>
      <c r="T57" s="4">
        <v>379</v>
      </c>
      <c r="U57" s="4">
        <v>334</v>
      </c>
      <c r="V57" s="4">
        <v>15</v>
      </c>
      <c r="W57" s="4">
        <v>301</v>
      </c>
      <c r="X57" s="4">
        <v>260</v>
      </c>
      <c r="Y57" s="4">
        <v>12</v>
      </c>
      <c r="Z57" s="4">
        <v>169</v>
      </c>
      <c r="AA57" s="4">
        <v>594</v>
      </c>
      <c r="AB57" s="4">
        <v>12</v>
      </c>
      <c r="AC57" s="4">
        <v>206</v>
      </c>
    </row>
    <row r="58" spans="1:29" x14ac:dyDescent="0.5">
      <c r="A58" s="2" t="s">
        <v>69</v>
      </c>
      <c r="B58" s="3">
        <v>56</v>
      </c>
      <c r="C58" s="4">
        <v>112</v>
      </c>
      <c r="D58" s="4">
        <v>4</v>
      </c>
      <c r="E58" s="4">
        <v>104</v>
      </c>
      <c r="F58" s="4">
        <v>98</v>
      </c>
      <c r="G58" s="4">
        <v>18</v>
      </c>
      <c r="H58" s="4">
        <v>426</v>
      </c>
      <c r="I58" s="4">
        <v>118.5</v>
      </c>
      <c r="J58" s="4">
        <v>41</v>
      </c>
      <c r="K58" s="4">
        <v>803</v>
      </c>
      <c r="L58" s="4">
        <v>59</v>
      </c>
      <c r="M58" s="4">
        <v>34</v>
      </c>
      <c r="N58" s="4">
        <v>709</v>
      </c>
      <c r="O58" s="4">
        <v>74</v>
      </c>
      <c r="P58" s="4">
        <v>35</v>
      </c>
      <c r="Q58" s="4">
        <v>603</v>
      </c>
      <c r="R58" s="4">
        <v>78</v>
      </c>
      <c r="S58" s="4">
        <v>36</v>
      </c>
      <c r="T58" s="4">
        <v>568</v>
      </c>
      <c r="U58" s="4">
        <v>328.5</v>
      </c>
      <c r="V58" s="4">
        <v>22</v>
      </c>
      <c r="W58" s="4">
        <v>365</v>
      </c>
      <c r="X58" s="4">
        <v>211</v>
      </c>
      <c r="Y58" s="4">
        <v>34</v>
      </c>
      <c r="Z58" s="4">
        <v>626</v>
      </c>
      <c r="AA58" s="4">
        <v>539.5</v>
      </c>
      <c r="AB58" s="4">
        <v>29</v>
      </c>
      <c r="AC58" s="4">
        <v>502</v>
      </c>
    </row>
    <row r="59" spans="1:29" x14ac:dyDescent="0.5">
      <c r="A59" s="2" t="s">
        <v>70</v>
      </c>
      <c r="B59" s="3">
        <v>57</v>
      </c>
      <c r="C59" s="4">
        <v>89</v>
      </c>
      <c r="D59" s="4">
        <v>48</v>
      </c>
      <c r="E59" s="4">
        <v>1009</v>
      </c>
      <c r="F59" s="4">
        <v>68</v>
      </c>
      <c r="G59" s="4">
        <v>49</v>
      </c>
      <c r="H59" s="4">
        <v>1044</v>
      </c>
      <c r="I59" s="4">
        <v>123.5</v>
      </c>
      <c r="J59" s="4">
        <v>34</v>
      </c>
      <c r="K59" s="4">
        <v>615</v>
      </c>
      <c r="L59" s="4">
        <v>36</v>
      </c>
      <c r="M59" s="4">
        <v>55</v>
      </c>
      <c r="N59" s="4">
        <v>1206</v>
      </c>
      <c r="O59" s="4">
        <v>62</v>
      </c>
      <c r="P59" s="4">
        <v>51</v>
      </c>
      <c r="Q59" s="4">
        <v>987</v>
      </c>
      <c r="R59" s="4">
        <v>67</v>
      </c>
      <c r="S59" s="4">
        <v>51</v>
      </c>
      <c r="T59" s="4">
        <v>918</v>
      </c>
      <c r="U59" s="4">
        <v>280.5</v>
      </c>
      <c r="V59" s="4">
        <v>48</v>
      </c>
      <c r="W59" s="4">
        <v>962</v>
      </c>
      <c r="X59" s="4">
        <v>165</v>
      </c>
      <c r="Y59" s="4">
        <v>54</v>
      </c>
      <c r="Z59" s="4">
        <v>1080</v>
      </c>
      <c r="AA59" s="4">
        <v>445.5</v>
      </c>
      <c r="AB59" s="4">
        <v>53</v>
      </c>
      <c r="AC59" s="4">
        <v>1037</v>
      </c>
    </row>
    <row r="60" spans="1:29" x14ac:dyDescent="0.5">
      <c r="A60" s="2" t="s">
        <v>71</v>
      </c>
      <c r="B60" s="3">
        <v>58</v>
      </c>
      <c r="C60" s="4">
        <v>101</v>
      </c>
      <c r="D60" s="4">
        <v>24</v>
      </c>
      <c r="E60" s="4">
        <v>457</v>
      </c>
      <c r="F60" s="4">
        <v>55</v>
      </c>
      <c r="G60" s="4">
        <v>54</v>
      </c>
      <c r="H60" s="4">
        <v>1245</v>
      </c>
      <c r="I60" s="4">
        <v>125.5</v>
      </c>
      <c r="J60" s="4">
        <v>29</v>
      </c>
      <c r="K60" s="4">
        <v>541</v>
      </c>
      <c r="L60" s="4">
        <v>62</v>
      </c>
      <c r="M60" s="4">
        <v>29</v>
      </c>
      <c r="N60" s="4">
        <v>637</v>
      </c>
      <c r="O60" s="4">
        <v>66</v>
      </c>
      <c r="P60" s="4">
        <v>47</v>
      </c>
      <c r="Q60" s="4">
        <v>868</v>
      </c>
      <c r="R60" s="4">
        <v>72</v>
      </c>
      <c r="S60" s="4">
        <v>42</v>
      </c>
      <c r="T60" s="4">
        <v>757</v>
      </c>
      <c r="U60" s="4">
        <v>281.5</v>
      </c>
      <c r="V60" s="4">
        <v>46</v>
      </c>
      <c r="W60" s="4">
        <v>950</v>
      </c>
      <c r="X60" s="4">
        <v>200</v>
      </c>
      <c r="Y60" s="4">
        <v>41</v>
      </c>
      <c r="Z60" s="4">
        <v>740</v>
      </c>
      <c r="AA60" s="4">
        <v>481.5</v>
      </c>
      <c r="AB60" s="4">
        <v>44</v>
      </c>
      <c r="AC60" s="4">
        <v>841</v>
      </c>
    </row>
    <row r="61" spans="1:29" x14ac:dyDescent="0.5">
      <c r="A61" s="2" t="s">
        <v>72</v>
      </c>
      <c r="B61" s="3">
        <v>59</v>
      </c>
      <c r="C61" s="4">
        <v>114</v>
      </c>
      <c r="D61" s="4">
        <v>2</v>
      </c>
      <c r="E61" s="4">
        <v>61</v>
      </c>
      <c r="F61" s="4">
        <v>92</v>
      </c>
      <c r="G61" s="4">
        <v>27</v>
      </c>
      <c r="H61" s="4">
        <v>553</v>
      </c>
      <c r="I61" s="4">
        <v>134.5</v>
      </c>
      <c r="J61" s="4">
        <v>9</v>
      </c>
      <c r="K61" s="4">
        <v>231</v>
      </c>
      <c r="L61" s="4">
        <v>50</v>
      </c>
      <c r="M61" s="4">
        <v>42</v>
      </c>
      <c r="N61" s="4">
        <v>902</v>
      </c>
      <c r="O61" s="4">
        <v>74</v>
      </c>
      <c r="P61" s="4">
        <v>35</v>
      </c>
      <c r="Q61" s="4">
        <v>603</v>
      </c>
      <c r="R61" s="4">
        <v>83</v>
      </c>
      <c r="S61" s="4">
        <v>26</v>
      </c>
      <c r="T61" s="4">
        <v>407</v>
      </c>
      <c r="U61" s="4">
        <v>340.5</v>
      </c>
      <c r="V61" s="4">
        <v>9</v>
      </c>
      <c r="W61" s="4">
        <v>226</v>
      </c>
      <c r="X61" s="4">
        <v>207</v>
      </c>
      <c r="Y61" s="4">
        <v>37</v>
      </c>
      <c r="Z61" s="4">
        <v>665</v>
      </c>
      <c r="AA61" s="4">
        <v>547.5</v>
      </c>
      <c r="AB61" s="4">
        <v>24</v>
      </c>
      <c r="AC61" s="4">
        <v>461</v>
      </c>
    </row>
  </sheetData>
  <mergeCells count="11">
    <mergeCell ref="L1:N1"/>
    <mergeCell ref="AA1:AC1"/>
    <mergeCell ref="A1:A2"/>
    <mergeCell ref="B1:B2"/>
    <mergeCell ref="C1:E1"/>
    <mergeCell ref="F1:H1"/>
    <mergeCell ref="I1:K1"/>
    <mergeCell ref="O1:Q1"/>
    <mergeCell ref="R1:T1"/>
    <mergeCell ref="U1:W1"/>
    <mergeCell ref="X1:Z1"/>
  </mergeCells>
  <phoneticPr fontId="1" type="noConversion"/>
  <printOptions horizontalCentered="1" verticalCentered="1"/>
  <pageMargins left="0.19685039370078741" right="0.19685039370078741" top="0.19685039370078741" bottom="0.19685039370078741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0843-2A9C-410D-860A-3CC8D992FFC7}">
  <sheetPr codeName="Sheet3"/>
  <dimension ref="B2:T29"/>
  <sheetViews>
    <sheetView tabSelected="1" workbookViewId="0"/>
  </sheetViews>
  <sheetFormatPr defaultRowHeight="14.1" x14ac:dyDescent="0.5"/>
  <cols>
    <col min="2" max="2" width="8.796875" style="10"/>
    <col min="3" max="3" width="8.796875" style="10" customWidth="1"/>
  </cols>
  <sheetData>
    <row r="2" spans="2:20" ht="14.1" customHeight="1" x14ac:dyDescent="0.5">
      <c r="B2" s="24" t="s">
        <v>79</v>
      </c>
      <c r="C2" s="24"/>
      <c r="E2" s="25" t="s">
        <v>86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</row>
    <row r="3" spans="2:20" ht="14.1" customHeight="1" x14ac:dyDescent="0.5">
      <c r="B3" s="10" t="s">
        <v>74</v>
      </c>
      <c r="C3" s="10">
        <v>2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</row>
    <row r="4" spans="2:20" ht="14.1" customHeight="1" x14ac:dyDescent="0.5"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</row>
    <row r="5" spans="2:20" ht="14.1" customHeight="1" x14ac:dyDescent="0.5"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2:20" ht="14.1" customHeight="1" x14ac:dyDescent="0.5">
      <c r="B6" s="24" t="s">
        <v>82</v>
      </c>
      <c r="C6" s="24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</row>
    <row r="7" spans="2:20" ht="14.1" customHeight="1" x14ac:dyDescent="0.5">
      <c r="B7" s="10" t="s">
        <v>77</v>
      </c>
      <c r="C7" s="10">
        <v>61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2:20" ht="14.1" customHeight="1" x14ac:dyDescent="0.5">
      <c r="B8" s="10" t="s">
        <v>78</v>
      </c>
      <c r="C8" s="10">
        <v>29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</row>
    <row r="9" spans="2:20" ht="14.1" customHeight="1" x14ac:dyDescent="0.5">
      <c r="B9" s="10" t="s">
        <v>80</v>
      </c>
      <c r="C9" s="10">
        <v>59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</row>
    <row r="10" spans="2:20" ht="14.1" customHeight="1" x14ac:dyDescent="0.5"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</row>
    <row r="11" spans="2:20" ht="14.1" customHeight="1" x14ac:dyDescent="0.5">
      <c r="B11" s="24" t="s">
        <v>83</v>
      </c>
      <c r="C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</row>
    <row r="12" spans="2:20" ht="14.1" customHeight="1" x14ac:dyDescent="0.5">
      <c r="B12" s="10" t="s">
        <v>74</v>
      </c>
      <c r="C12" s="10">
        <f>IF(成绩条!C2=0,0,MATCH("A",成绩条!A:A)-1)</f>
        <v>2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2:20" ht="14.1" customHeight="1" x14ac:dyDescent="0.5">
      <c r="B13" s="10" t="s">
        <v>84</v>
      </c>
      <c r="C13" s="10">
        <f>IF(成绩条!C2=0,0,MATCH("E",成绩条!1:1)-3)</f>
        <v>29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</row>
    <row r="14" spans="2:20" ht="14.1" customHeight="1" x14ac:dyDescent="0.5">
      <c r="B14" s="10" t="s">
        <v>80</v>
      </c>
      <c r="C14" s="10">
        <f>COUNTIF(成绩条!A:B,"A")</f>
        <v>59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</row>
    <row r="15" spans="2:20" ht="14.1" customHeight="1" x14ac:dyDescent="0.5">
      <c r="B15" s="10" t="s">
        <v>76</v>
      </c>
      <c r="C15" s="13">
        <f ca="1">INDIRECT("成绩条!A"&amp;VALUE(控制面板!C12)+2)</f>
        <v>1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</row>
    <row r="16" spans="2:20" ht="14.1" customHeight="1" x14ac:dyDescent="0.5"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</row>
    <row r="17" spans="5:20" ht="14.1" customHeight="1" x14ac:dyDescent="0.5"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</row>
    <row r="18" spans="5:20" ht="14.1" customHeight="1" x14ac:dyDescent="0.5"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</row>
    <row r="19" spans="5:20" ht="14.1" customHeight="1" x14ac:dyDescent="0.5"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</row>
    <row r="20" spans="5:20" ht="14.1" customHeight="1" x14ac:dyDescent="0.5"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5:20" ht="14.1" customHeight="1" x14ac:dyDescent="0.5"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5:20" ht="14.1" customHeight="1" x14ac:dyDescent="0.5"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5:20" ht="14.1" customHeight="1" x14ac:dyDescent="0.5"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</row>
    <row r="24" spans="5:20" ht="14.1" customHeight="1" x14ac:dyDescent="0.5"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</row>
    <row r="25" spans="5:20" ht="14.1" customHeight="1" x14ac:dyDescent="0.5"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5:20" ht="14.1" customHeight="1" x14ac:dyDescent="0.5"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5:20" ht="14.1" customHeight="1" x14ac:dyDescent="0.5"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5:20" ht="14.1" customHeight="1" x14ac:dyDescent="0.5"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</row>
    <row r="29" spans="5:20" x14ac:dyDescent="0.5"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</row>
  </sheetData>
  <mergeCells count="4">
    <mergeCell ref="B2:C2"/>
    <mergeCell ref="B6:C6"/>
    <mergeCell ref="E2:T29"/>
    <mergeCell ref="B11:C1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94D-1284-4F2C-91A5-1A90A918C8B6}">
  <sheetPr codeName="Sheet5"/>
  <dimension ref="A1"/>
  <sheetViews>
    <sheetView workbookViewId="0">
      <selection activeCell="A5" sqref="A5:AE7 A9:AE11 A13:AE15 A17:AE19 A21:AE23 A25:AE27 A29:AE31 A33:AE35 A37:AE39 A41:AE43 A45:AE47 A49:AE51 A53:AE55 A57:AE59 A61:AE63 A65:AE67 A69:AE71 A73:AE75 A77:AE79 A81:AE83 A85:AE87 A89:AE91 A93:AE95 A97:AE99 A101:AE103 A105:AE107 A109:AE111 A113:AE115 A117:AE119 A121:AE123 A125:AE127 A129:AE131 A133:AE135 A137:AE139 A141:AE143 A145:AE147 A149:AE151 A153:AE155 A157:AE159 A161:AE163 A165:AE167 A169:AE171 A173:AE175 A177:AE179 A181:AE183 A185:AE187 A189:AE191 A193:AE195 A197:AE199 A201:AE203 A205:AE207 A209:AE211 A213:AE215 A217:AE219 A221:AE223 A225:AE227 A229:AE231 A233:AE235"/>
    </sheetView>
  </sheetViews>
  <sheetFormatPr defaultRowHeight="14.1" x14ac:dyDescent="0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6D8D-E159-4C2E-A356-05FB019848FA}">
  <sheetPr codeName="Sheet6"/>
  <dimension ref="A1:AF236"/>
  <sheetViews>
    <sheetView workbookViewId="0"/>
  </sheetViews>
  <sheetFormatPr defaultRowHeight="14.1" x14ac:dyDescent="0.5"/>
  <cols>
    <col min="3" max="3" width="8.546875" customWidth="1"/>
    <col min="4" max="31" width="4.546875" customWidth="1"/>
  </cols>
  <sheetData>
    <row r="1" spans="1:32" x14ac:dyDescent="0.5">
      <c r="AF1" t="s">
        <v>85</v>
      </c>
    </row>
    <row r="2" spans="1:32" x14ac:dyDescent="0.5">
      <c r="C2" s="20" t="s">
        <v>73</v>
      </c>
      <c r="D2" s="22" t="s">
        <v>0</v>
      </c>
      <c r="E2" s="14" t="s">
        <v>1</v>
      </c>
      <c r="F2" s="15"/>
      <c r="G2" s="16"/>
      <c r="H2" s="14" t="s">
        <v>2</v>
      </c>
      <c r="I2" s="15"/>
      <c r="J2" s="16"/>
      <c r="K2" s="14" t="s">
        <v>3</v>
      </c>
      <c r="L2" s="15"/>
      <c r="M2" s="16"/>
      <c r="N2" s="14" t="s">
        <v>4</v>
      </c>
      <c r="O2" s="15"/>
      <c r="P2" s="16"/>
      <c r="Q2" s="14" t="s">
        <v>5</v>
      </c>
      <c r="R2" s="15"/>
      <c r="S2" s="16"/>
      <c r="T2" s="14" t="s">
        <v>6</v>
      </c>
      <c r="U2" s="15"/>
      <c r="V2" s="16"/>
      <c r="W2" s="14" t="s">
        <v>7</v>
      </c>
      <c r="X2" s="15"/>
      <c r="Y2" s="16"/>
      <c r="Z2" s="14" t="s">
        <v>8</v>
      </c>
      <c r="AA2" s="15"/>
      <c r="AB2" s="16"/>
      <c r="AC2" s="17" t="s">
        <v>75</v>
      </c>
      <c r="AD2" s="18"/>
      <c r="AE2" s="19"/>
    </row>
    <row r="3" spans="1:32" x14ac:dyDescent="0.5">
      <c r="A3" t="s">
        <v>81</v>
      </c>
      <c r="C3" s="21"/>
      <c r="D3" s="23"/>
      <c r="E3" s="11" t="s">
        <v>9</v>
      </c>
      <c r="F3" s="11" t="s">
        <v>10</v>
      </c>
      <c r="G3" s="11" t="s">
        <v>11</v>
      </c>
      <c r="H3" s="11" t="s">
        <v>9</v>
      </c>
      <c r="I3" s="11" t="s">
        <v>10</v>
      </c>
      <c r="J3" s="11" t="s">
        <v>11</v>
      </c>
      <c r="K3" s="11" t="s">
        <v>9</v>
      </c>
      <c r="L3" s="11" t="s">
        <v>10</v>
      </c>
      <c r="M3" s="11" t="s">
        <v>11</v>
      </c>
      <c r="N3" s="11" t="s">
        <v>9</v>
      </c>
      <c r="O3" s="11" t="s">
        <v>10</v>
      </c>
      <c r="P3" s="11" t="s">
        <v>11</v>
      </c>
      <c r="Q3" s="11" t="s">
        <v>9</v>
      </c>
      <c r="R3" s="11" t="s">
        <v>10</v>
      </c>
      <c r="S3" s="11" t="s">
        <v>11</v>
      </c>
      <c r="T3" s="11" t="s">
        <v>9</v>
      </c>
      <c r="U3" s="11" t="s">
        <v>10</v>
      </c>
      <c r="V3" s="11" t="s">
        <v>11</v>
      </c>
      <c r="W3" s="11" t="s">
        <v>9</v>
      </c>
      <c r="X3" s="11" t="s">
        <v>10</v>
      </c>
      <c r="Y3" s="11" t="s">
        <v>11</v>
      </c>
      <c r="Z3" s="11" t="s">
        <v>9</v>
      </c>
      <c r="AA3" s="11" t="s">
        <v>10</v>
      </c>
      <c r="AB3" s="11" t="s">
        <v>11</v>
      </c>
      <c r="AC3" s="11" t="s">
        <v>12</v>
      </c>
      <c r="AD3" s="11" t="s">
        <v>13</v>
      </c>
      <c r="AE3" s="12" t="s">
        <v>11</v>
      </c>
    </row>
    <row r="4" spans="1:32" x14ac:dyDescent="0.5">
      <c r="A4">
        <v>1</v>
      </c>
      <c r="C4" s="2" t="s">
        <v>14</v>
      </c>
      <c r="D4" s="3">
        <v>1</v>
      </c>
      <c r="E4" s="4">
        <v>74</v>
      </c>
      <c r="F4" s="4">
        <v>57</v>
      </c>
      <c r="G4" s="4">
        <v>1359</v>
      </c>
      <c r="H4" s="4">
        <v>78</v>
      </c>
      <c r="I4" s="4">
        <v>42</v>
      </c>
      <c r="J4" s="4">
        <v>835</v>
      </c>
      <c r="K4" s="4">
        <v>134</v>
      </c>
      <c r="L4" s="4">
        <v>11</v>
      </c>
      <c r="M4" s="4">
        <v>243</v>
      </c>
      <c r="N4" s="4">
        <v>49</v>
      </c>
      <c r="O4" s="4">
        <v>44</v>
      </c>
      <c r="P4" s="4">
        <v>926</v>
      </c>
      <c r="Q4" s="4">
        <v>90</v>
      </c>
      <c r="R4" s="4">
        <v>6</v>
      </c>
      <c r="S4" s="4">
        <v>98</v>
      </c>
      <c r="T4" s="4">
        <v>71</v>
      </c>
      <c r="U4" s="4">
        <v>43</v>
      </c>
      <c r="V4" s="4">
        <v>784</v>
      </c>
      <c r="W4" s="4">
        <v>286</v>
      </c>
      <c r="X4" s="4">
        <v>45</v>
      </c>
      <c r="Y4" s="4">
        <v>908</v>
      </c>
      <c r="Z4" s="4">
        <v>210</v>
      </c>
      <c r="AA4" s="4">
        <v>35</v>
      </c>
      <c r="AB4" s="4">
        <v>637</v>
      </c>
      <c r="AC4" s="4">
        <v>496</v>
      </c>
      <c r="AD4" s="4">
        <v>41</v>
      </c>
      <c r="AE4" s="4">
        <v>745</v>
      </c>
    </row>
    <row r="6" spans="1:32" x14ac:dyDescent="0.5">
      <c r="B6" t="s">
        <v>81</v>
      </c>
      <c r="C6" s="20" t="s">
        <v>73</v>
      </c>
      <c r="D6" s="22" t="s">
        <v>0</v>
      </c>
      <c r="E6" s="14" t="s">
        <v>1</v>
      </c>
      <c r="F6" s="15"/>
      <c r="G6" s="16"/>
      <c r="H6" s="14" t="s">
        <v>2</v>
      </c>
      <c r="I6" s="15"/>
      <c r="J6" s="16"/>
      <c r="K6" s="14" t="s">
        <v>3</v>
      </c>
      <c r="L6" s="15"/>
      <c r="M6" s="16"/>
      <c r="N6" s="14" t="s">
        <v>4</v>
      </c>
      <c r="O6" s="15"/>
      <c r="P6" s="16"/>
      <c r="Q6" s="14" t="s">
        <v>5</v>
      </c>
      <c r="R6" s="15"/>
      <c r="S6" s="16"/>
      <c r="T6" s="14" t="s">
        <v>6</v>
      </c>
      <c r="U6" s="15"/>
      <c r="V6" s="16"/>
      <c r="W6" s="14" t="s">
        <v>7</v>
      </c>
      <c r="X6" s="15"/>
      <c r="Y6" s="16"/>
      <c r="Z6" s="14" t="s">
        <v>8</v>
      </c>
      <c r="AA6" s="15"/>
      <c r="AB6" s="16"/>
      <c r="AC6" s="17" t="s">
        <v>75</v>
      </c>
      <c r="AD6" s="18"/>
      <c r="AE6" s="19"/>
    </row>
    <row r="7" spans="1:32" x14ac:dyDescent="0.5">
      <c r="C7" s="21"/>
      <c r="D7" s="23"/>
      <c r="E7" s="11" t="s">
        <v>9</v>
      </c>
      <c r="F7" s="11" t="s">
        <v>10</v>
      </c>
      <c r="G7" s="11" t="s">
        <v>11</v>
      </c>
      <c r="H7" s="11" t="s">
        <v>9</v>
      </c>
      <c r="I7" s="11" t="s">
        <v>10</v>
      </c>
      <c r="J7" s="11" t="s">
        <v>11</v>
      </c>
      <c r="K7" s="11" t="s">
        <v>9</v>
      </c>
      <c r="L7" s="11" t="s">
        <v>10</v>
      </c>
      <c r="M7" s="11" t="s">
        <v>11</v>
      </c>
      <c r="N7" s="11" t="s">
        <v>9</v>
      </c>
      <c r="O7" s="11" t="s">
        <v>10</v>
      </c>
      <c r="P7" s="11" t="s">
        <v>11</v>
      </c>
      <c r="Q7" s="11" t="s">
        <v>9</v>
      </c>
      <c r="R7" s="11" t="s">
        <v>10</v>
      </c>
      <c r="S7" s="11" t="s">
        <v>11</v>
      </c>
      <c r="T7" s="11" t="s">
        <v>9</v>
      </c>
      <c r="U7" s="11" t="s">
        <v>10</v>
      </c>
      <c r="V7" s="11" t="s">
        <v>11</v>
      </c>
      <c r="W7" s="11" t="s">
        <v>9</v>
      </c>
      <c r="X7" s="11" t="s">
        <v>10</v>
      </c>
      <c r="Y7" s="11" t="s">
        <v>11</v>
      </c>
      <c r="Z7" s="11" t="s">
        <v>9</v>
      </c>
      <c r="AA7" s="11" t="s">
        <v>10</v>
      </c>
      <c r="AB7" s="11" t="s">
        <v>11</v>
      </c>
      <c r="AC7" s="11" t="s">
        <v>12</v>
      </c>
      <c r="AD7" s="11" t="s">
        <v>13</v>
      </c>
      <c r="AE7" s="12" t="s">
        <v>11</v>
      </c>
    </row>
    <row r="8" spans="1:32" x14ac:dyDescent="0.5">
      <c r="C8" s="2" t="s">
        <v>15</v>
      </c>
      <c r="D8" s="3">
        <v>2</v>
      </c>
      <c r="E8" s="4">
        <v>93</v>
      </c>
      <c r="F8" s="4">
        <v>39</v>
      </c>
      <c r="G8" s="4">
        <v>824</v>
      </c>
      <c r="H8" s="4">
        <v>70</v>
      </c>
      <c r="I8" s="4">
        <v>47</v>
      </c>
      <c r="J8" s="4">
        <v>1009</v>
      </c>
      <c r="K8" s="4">
        <v>126</v>
      </c>
      <c r="L8" s="4">
        <v>26</v>
      </c>
      <c r="M8" s="4">
        <v>521</v>
      </c>
      <c r="N8" s="4">
        <v>77</v>
      </c>
      <c r="O8" s="4">
        <v>16</v>
      </c>
      <c r="P8" s="4">
        <v>305</v>
      </c>
      <c r="Q8" s="4">
        <v>82</v>
      </c>
      <c r="R8" s="4">
        <v>20</v>
      </c>
      <c r="S8" s="4">
        <v>347</v>
      </c>
      <c r="T8" s="4">
        <v>86</v>
      </c>
      <c r="U8" s="4">
        <v>18</v>
      </c>
      <c r="V8" s="4">
        <v>301</v>
      </c>
      <c r="W8" s="4">
        <v>289</v>
      </c>
      <c r="X8" s="4">
        <v>43</v>
      </c>
      <c r="Y8" s="4">
        <v>867</v>
      </c>
      <c r="Z8" s="4">
        <v>245</v>
      </c>
      <c r="AA8" s="4">
        <v>19</v>
      </c>
      <c r="AB8" s="4">
        <v>300</v>
      </c>
      <c r="AC8" s="4">
        <v>534</v>
      </c>
      <c r="AD8" s="4">
        <v>31</v>
      </c>
      <c r="AE8" s="4">
        <v>533</v>
      </c>
    </row>
    <row r="10" spans="1:32" x14ac:dyDescent="0.5">
      <c r="B10" t="s">
        <v>81</v>
      </c>
      <c r="C10" s="20" t="s">
        <v>73</v>
      </c>
      <c r="D10" s="22" t="s">
        <v>0</v>
      </c>
      <c r="E10" s="14" t="s">
        <v>1</v>
      </c>
      <c r="F10" s="15"/>
      <c r="G10" s="16"/>
      <c r="H10" s="14" t="s">
        <v>2</v>
      </c>
      <c r="I10" s="15"/>
      <c r="J10" s="16"/>
      <c r="K10" s="14" t="s">
        <v>3</v>
      </c>
      <c r="L10" s="15"/>
      <c r="M10" s="16"/>
      <c r="N10" s="14" t="s">
        <v>4</v>
      </c>
      <c r="O10" s="15"/>
      <c r="P10" s="16"/>
      <c r="Q10" s="14" t="s">
        <v>5</v>
      </c>
      <c r="R10" s="15"/>
      <c r="S10" s="16"/>
      <c r="T10" s="14" t="s">
        <v>6</v>
      </c>
      <c r="U10" s="15"/>
      <c r="V10" s="16"/>
      <c r="W10" s="14" t="s">
        <v>7</v>
      </c>
      <c r="X10" s="15"/>
      <c r="Y10" s="16"/>
      <c r="Z10" s="14" t="s">
        <v>8</v>
      </c>
      <c r="AA10" s="15"/>
      <c r="AB10" s="16"/>
      <c r="AC10" s="17" t="s">
        <v>75</v>
      </c>
      <c r="AD10" s="18"/>
      <c r="AE10" s="19"/>
    </row>
    <row r="11" spans="1:32" x14ac:dyDescent="0.5">
      <c r="C11" s="21"/>
      <c r="D11" s="23"/>
      <c r="E11" s="11" t="s">
        <v>9</v>
      </c>
      <c r="F11" s="11" t="s">
        <v>10</v>
      </c>
      <c r="G11" s="11" t="s">
        <v>11</v>
      </c>
      <c r="H11" s="11" t="s">
        <v>9</v>
      </c>
      <c r="I11" s="11" t="s">
        <v>10</v>
      </c>
      <c r="J11" s="11" t="s">
        <v>11</v>
      </c>
      <c r="K11" s="11" t="s">
        <v>9</v>
      </c>
      <c r="L11" s="11" t="s">
        <v>10</v>
      </c>
      <c r="M11" s="11" t="s">
        <v>11</v>
      </c>
      <c r="N11" s="11" t="s">
        <v>9</v>
      </c>
      <c r="O11" s="11" t="s">
        <v>10</v>
      </c>
      <c r="P11" s="11" t="s">
        <v>11</v>
      </c>
      <c r="Q11" s="11" t="s">
        <v>9</v>
      </c>
      <c r="R11" s="11" t="s">
        <v>10</v>
      </c>
      <c r="S11" s="11" t="s">
        <v>11</v>
      </c>
      <c r="T11" s="11" t="s">
        <v>9</v>
      </c>
      <c r="U11" s="11" t="s">
        <v>10</v>
      </c>
      <c r="V11" s="11" t="s">
        <v>11</v>
      </c>
      <c r="W11" s="11" t="s">
        <v>9</v>
      </c>
      <c r="X11" s="11" t="s">
        <v>10</v>
      </c>
      <c r="Y11" s="11" t="s">
        <v>11</v>
      </c>
      <c r="Z11" s="11" t="s">
        <v>9</v>
      </c>
      <c r="AA11" s="11" t="s">
        <v>10</v>
      </c>
      <c r="AB11" s="11" t="s">
        <v>11</v>
      </c>
      <c r="AC11" s="11" t="s">
        <v>12</v>
      </c>
      <c r="AD11" s="11" t="s">
        <v>13</v>
      </c>
      <c r="AE11" s="12" t="s">
        <v>11</v>
      </c>
    </row>
    <row r="12" spans="1:32" x14ac:dyDescent="0.5">
      <c r="C12" s="2" t="s">
        <v>16</v>
      </c>
      <c r="D12" s="3">
        <v>3</v>
      </c>
      <c r="E12" s="4">
        <v>105</v>
      </c>
      <c r="F12" s="4">
        <v>16</v>
      </c>
      <c r="G12" s="4">
        <v>307</v>
      </c>
      <c r="H12" s="4">
        <v>95</v>
      </c>
      <c r="I12" s="4">
        <v>22</v>
      </c>
      <c r="J12" s="4">
        <v>483</v>
      </c>
      <c r="K12" s="4">
        <v>138.5</v>
      </c>
      <c r="L12" s="4">
        <v>3</v>
      </c>
      <c r="M12" s="4">
        <v>94</v>
      </c>
      <c r="N12" s="4">
        <v>61</v>
      </c>
      <c r="O12" s="4">
        <v>30</v>
      </c>
      <c r="P12" s="4">
        <v>655</v>
      </c>
      <c r="Q12" s="4">
        <v>74</v>
      </c>
      <c r="R12" s="4">
        <v>35</v>
      </c>
      <c r="S12" s="4">
        <v>603</v>
      </c>
      <c r="T12" s="4">
        <v>69</v>
      </c>
      <c r="U12" s="4">
        <v>49</v>
      </c>
      <c r="V12" s="4">
        <v>855</v>
      </c>
      <c r="W12" s="4">
        <v>338.5</v>
      </c>
      <c r="X12" s="4">
        <v>10</v>
      </c>
      <c r="Y12" s="4">
        <v>247</v>
      </c>
      <c r="Z12" s="4">
        <v>204</v>
      </c>
      <c r="AA12" s="4">
        <v>38</v>
      </c>
      <c r="AB12" s="4">
        <v>695</v>
      </c>
      <c r="AC12" s="4">
        <v>542.5</v>
      </c>
      <c r="AD12" s="4">
        <v>27</v>
      </c>
      <c r="AE12" s="4">
        <v>489</v>
      </c>
    </row>
    <row r="14" spans="1:32" x14ac:dyDescent="0.5">
      <c r="B14" t="s">
        <v>81</v>
      </c>
      <c r="C14" s="20" t="s">
        <v>73</v>
      </c>
      <c r="D14" s="22" t="s">
        <v>0</v>
      </c>
      <c r="E14" s="14" t="s">
        <v>1</v>
      </c>
      <c r="F14" s="15"/>
      <c r="G14" s="16"/>
      <c r="H14" s="14" t="s">
        <v>2</v>
      </c>
      <c r="I14" s="15"/>
      <c r="J14" s="16"/>
      <c r="K14" s="14" t="s">
        <v>3</v>
      </c>
      <c r="L14" s="15"/>
      <c r="M14" s="16"/>
      <c r="N14" s="14" t="s">
        <v>4</v>
      </c>
      <c r="O14" s="15"/>
      <c r="P14" s="16"/>
      <c r="Q14" s="14" t="s">
        <v>5</v>
      </c>
      <c r="R14" s="15"/>
      <c r="S14" s="16"/>
      <c r="T14" s="14" t="s">
        <v>6</v>
      </c>
      <c r="U14" s="15"/>
      <c r="V14" s="16"/>
      <c r="W14" s="14" t="s">
        <v>7</v>
      </c>
      <c r="X14" s="15"/>
      <c r="Y14" s="16"/>
      <c r="Z14" s="14" t="s">
        <v>8</v>
      </c>
      <c r="AA14" s="15"/>
      <c r="AB14" s="16"/>
      <c r="AC14" s="17" t="s">
        <v>75</v>
      </c>
      <c r="AD14" s="18"/>
      <c r="AE14" s="19"/>
    </row>
    <row r="15" spans="1:32" x14ac:dyDescent="0.5">
      <c r="C15" s="21"/>
      <c r="D15" s="23"/>
      <c r="E15" s="11" t="s">
        <v>9</v>
      </c>
      <c r="F15" s="11" t="s">
        <v>10</v>
      </c>
      <c r="G15" s="11" t="s">
        <v>11</v>
      </c>
      <c r="H15" s="11" t="s">
        <v>9</v>
      </c>
      <c r="I15" s="11" t="s">
        <v>10</v>
      </c>
      <c r="J15" s="11" t="s">
        <v>11</v>
      </c>
      <c r="K15" s="11" t="s">
        <v>9</v>
      </c>
      <c r="L15" s="11" t="s">
        <v>10</v>
      </c>
      <c r="M15" s="11" t="s">
        <v>11</v>
      </c>
      <c r="N15" s="11" t="s">
        <v>9</v>
      </c>
      <c r="O15" s="11" t="s">
        <v>10</v>
      </c>
      <c r="P15" s="11" t="s">
        <v>11</v>
      </c>
      <c r="Q15" s="11" t="s">
        <v>9</v>
      </c>
      <c r="R15" s="11" t="s">
        <v>10</v>
      </c>
      <c r="S15" s="11" t="s">
        <v>11</v>
      </c>
      <c r="T15" s="11" t="s">
        <v>9</v>
      </c>
      <c r="U15" s="11" t="s">
        <v>10</v>
      </c>
      <c r="V15" s="11" t="s">
        <v>11</v>
      </c>
      <c r="W15" s="11" t="s">
        <v>9</v>
      </c>
      <c r="X15" s="11" t="s">
        <v>10</v>
      </c>
      <c r="Y15" s="11" t="s">
        <v>11</v>
      </c>
      <c r="Z15" s="11" t="s">
        <v>9</v>
      </c>
      <c r="AA15" s="11" t="s">
        <v>10</v>
      </c>
      <c r="AB15" s="11" t="s">
        <v>11</v>
      </c>
      <c r="AC15" s="11" t="s">
        <v>12</v>
      </c>
      <c r="AD15" s="11" t="s">
        <v>13</v>
      </c>
      <c r="AE15" s="12" t="s">
        <v>11</v>
      </c>
    </row>
    <row r="16" spans="1:32" x14ac:dyDescent="0.5">
      <c r="C16" s="2" t="s">
        <v>17</v>
      </c>
      <c r="D16" s="3">
        <v>4</v>
      </c>
      <c r="E16" s="4">
        <v>98</v>
      </c>
      <c r="F16" s="4">
        <v>28</v>
      </c>
      <c r="G16" s="4">
        <v>604</v>
      </c>
      <c r="H16" s="4">
        <v>109</v>
      </c>
      <c r="I16" s="4">
        <v>11</v>
      </c>
      <c r="J16" s="4">
        <v>227</v>
      </c>
      <c r="K16" s="4">
        <v>122.5</v>
      </c>
      <c r="L16" s="4">
        <v>37</v>
      </c>
      <c r="M16" s="4">
        <v>660</v>
      </c>
      <c r="N16" s="4">
        <v>87</v>
      </c>
      <c r="O16" s="4">
        <v>9</v>
      </c>
      <c r="P16" s="4">
        <v>160</v>
      </c>
      <c r="Q16" s="4">
        <v>76</v>
      </c>
      <c r="R16" s="4">
        <v>32</v>
      </c>
      <c r="S16" s="4">
        <v>534</v>
      </c>
      <c r="T16" s="4">
        <v>88</v>
      </c>
      <c r="U16" s="4">
        <v>15</v>
      </c>
      <c r="V16" s="4">
        <v>224</v>
      </c>
      <c r="W16" s="4">
        <v>329.5</v>
      </c>
      <c r="X16" s="4">
        <v>21</v>
      </c>
      <c r="Y16" s="4">
        <v>357</v>
      </c>
      <c r="Z16" s="4">
        <v>251</v>
      </c>
      <c r="AA16" s="4">
        <v>17</v>
      </c>
      <c r="AB16" s="4">
        <v>247</v>
      </c>
      <c r="AC16" s="4">
        <v>580.5</v>
      </c>
      <c r="AD16" s="4">
        <v>16</v>
      </c>
      <c r="AE16" s="4">
        <v>275</v>
      </c>
    </row>
    <row r="18" spans="2:31" x14ac:dyDescent="0.5">
      <c r="B18" t="s">
        <v>81</v>
      </c>
      <c r="C18" s="20" t="s">
        <v>73</v>
      </c>
      <c r="D18" s="22" t="s">
        <v>0</v>
      </c>
      <c r="E18" s="14" t="s">
        <v>1</v>
      </c>
      <c r="F18" s="15"/>
      <c r="G18" s="16"/>
      <c r="H18" s="14" t="s">
        <v>2</v>
      </c>
      <c r="I18" s="15"/>
      <c r="J18" s="16"/>
      <c r="K18" s="14" t="s">
        <v>3</v>
      </c>
      <c r="L18" s="15"/>
      <c r="M18" s="16"/>
      <c r="N18" s="14" t="s">
        <v>4</v>
      </c>
      <c r="O18" s="15"/>
      <c r="P18" s="16"/>
      <c r="Q18" s="14" t="s">
        <v>5</v>
      </c>
      <c r="R18" s="15"/>
      <c r="S18" s="16"/>
      <c r="T18" s="14" t="s">
        <v>6</v>
      </c>
      <c r="U18" s="15"/>
      <c r="V18" s="16"/>
      <c r="W18" s="14" t="s">
        <v>7</v>
      </c>
      <c r="X18" s="15"/>
      <c r="Y18" s="16"/>
      <c r="Z18" s="14" t="s">
        <v>8</v>
      </c>
      <c r="AA18" s="15"/>
      <c r="AB18" s="16"/>
      <c r="AC18" s="17" t="s">
        <v>75</v>
      </c>
      <c r="AD18" s="18"/>
      <c r="AE18" s="19"/>
    </row>
    <row r="19" spans="2:31" x14ac:dyDescent="0.5">
      <c r="C19" s="21"/>
      <c r="D19" s="23"/>
      <c r="E19" s="11" t="s">
        <v>9</v>
      </c>
      <c r="F19" s="11" t="s">
        <v>10</v>
      </c>
      <c r="G19" s="11" t="s">
        <v>11</v>
      </c>
      <c r="H19" s="11" t="s">
        <v>9</v>
      </c>
      <c r="I19" s="11" t="s">
        <v>10</v>
      </c>
      <c r="J19" s="11" t="s">
        <v>11</v>
      </c>
      <c r="K19" s="11" t="s">
        <v>9</v>
      </c>
      <c r="L19" s="11" t="s">
        <v>10</v>
      </c>
      <c r="M19" s="11" t="s">
        <v>11</v>
      </c>
      <c r="N19" s="11" t="s">
        <v>9</v>
      </c>
      <c r="O19" s="11" t="s">
        <v>10</v>
      </c>
      <c r="P19" s="11" t="s">
        <v>11</v>
      </c>
      <c r="Q19" s="11" t="s">
        <v>9</v>
      </c>
      <c r="R19" s="11" t="s">
        <v>10</v>
      </c>
      <c r="S19" s="11" t="s">
        <v>11</v>
      </c>
      <c r="T19" s="11" t="s">
        <v>9</v>
      </c>
      <c r="U19" s="11" t="s">
        <v>10</v>
      </c>
      <c r="V19" s="11" t="s">
        <v>11</v>
      </c>
      <c r="W19" s="11" t="s">
        <v>9</v>
      </c>
      <c r="X19" s="11" t="s">
        <v>10</v>
      </c>
      <c r="Y19" s="11" t="s">
        <v>11</v>
      </c>
      <c r="Z19" s="11" t="s">
        <v>9</v>
      </c>
      <c r="AA19" s="11" t="s">
        <v>10</v>
      </c>
      <c r="AB19" s="11" t="s">
        <v>11</v>
      </c>
      <c r="AC19" s="11" t="s">
        <v>12</v>
      </c>
      <c r="AD19" s="11" t="s">
        <v>13</v>
      </c>
      <c r="AE19" s="12" t="s">
        <v>11</v>
      </c>
    </row>
    <row r="20" spans="2:31" x14ac:dyDescent="0.5">
      <c r="C20" s="2" t="s">
        <v>18</v>
      </c>
      <c r="D20" s="3">
        <v>5</v>
      </c>
      <c r="E20" s="4">
        <v>96</v>
      </c>
      <c r="F20" s="4">
        <v>33</v>
      </c>
      <c r="G20" s="4">
        <v>696</v>
      </c>
      <c r="H20" s="4">
        <v>112</v>
      </c>
      <c r="I20" s="4">
        <v>8</v>
      </c>
      <c r="J20" s="4">
        <v>181</v>
      </c>
      <c r="K20" s="4">
        <v>123</v>
      </c>
      <c r="L20" s="4">
        <v>35</v>
      </c>
      <c r="M20" s="4">
        <v>637</v>
      </c>
      <c r="N20" s="4">
        <v>103</v>
      </c>
      <c r="O20" s="4">
        <v>2</v>
      </c>
      <c r="P20" s="4">
        <v>16</v>
      </c>
      <c r="Q20" s="4">
        <v>88</v>
      </c>
      <c r="R20" s="4">
        <v>9</v>
      </c>
      <c r="S20" s="4">
        <v>158</v>
      </c>
      <c r="T20" s="4">
        <v>83</v>
      </c>
      <c r="U20" s="4">
        <v>26</v>
      </c>
      <c r="V20" s="4">
        <v>407</v>
      </c>
      <c r="W20" s="4">
        <v>331</v>
      </c>
      <c r="X20" s="4">
        <v>18</v>
      </c>
      <c r="Y20" s="4">
        <v>343</v>
      </c>
      <c r="Z20" s="4">
        <v>274</v>
      </c>
      <c r="AA20" s="4">
        <v>6</v>
      </c>
      <c r="AB20" s="4">
        <v>77</v>
      </c>
      <c r="AC20" s="4">
        <v>605</v>
      </c>
      <c r="AD20" s="4">
        <v>9</v>
      </c>
      <c r="AE20" s="4">
        <v>163</v>
      </c>
    </row>
    <row r="22" spans="2:31" x14ac:dyDescent="0.5">
      <c r="B22" t="s">
        <v>81</v>
      </c>
      <c r="C22" s="20" t="s">
        <v>73</v>
      </c>
      <c r="D22" s="22" t="s">
        <v>0</v>
      </c>
      <c r="E22" s="14" t="s">
        <v>1</v>
      </c>
      <c r="F22" s="15"/>
      <c r="G22" s="16"/>
      <c r="H22" s="14" t="s">
        <v>2</v>
      </c>
      <c r="I22" s="15"/>
      <c r="J22" s="16"/>
      <c r="K22" s="14" t="s">
        <v>3</v>
      </c>
      <c r="L22" s="15"/>
      <c r="M22" s="16"/>
      <c r="N22" s="14" t="s">
        <v>4</v>
      </c>
      <c r="O22" s="15"/>
      <c r="P22" s="16"/>
      <c r="Q22" s="14" t="s">
        <v>5</v>
      </c>
      <c r="R22" s="15"/>
      <c r="S22" s="16"/>
      <c r="T22" s="14" t="s">
        <v>6</v>
      </c>
      <c r="U22" s="15"/>
      <c r="V22" s="16"/>
      <c r="W22" s="14" t="s">
        <v>7</v>
      </c>
      <c r="X22" s="15"/>
      <c r="Y22" s="16"/>
      <c r="Z22" s="14" t="s">
        <v>8</v>
      </c>
      <c r="AA22" s="15"/>
      <c r="AB22" s="16"/>
      <c r="AC22" s="17" t="s">
        <v>75</v>
      </c>
      <c r="AD22" s="18"/>
      <c r="AE22" s="19"/>
    </row>
    <row r="23" spans="2:31" x14ac:dyDescent="0.5">
      <c r="C23" s="21"/>
      <c r="D23" s="23"/>
      <c r="E23" s="11" t="s">
        <v>9</v>
      </c>
      <c r="F23" s="11" t="s">
        <v>10</v>
      </c>
      <c r="G23" s="11" t="s">
        <v>11</v>
      </c>
      <c r="H23" s="11" t="s">
        <v>9</v>
      </c>
      <c r="I23" s="11" t="s">
        <v>10</v>
      </c>
      <c r="J23" s="11" t="s">
        <v>11</v>
      </c>
      <c r="K23" s="11" t="s">
        <v>9</v>
      </c>
      <c r="L23" s="11" t="s">
        <v>10</v>
      </c>
      <c r="M23" s="11" t="s">
        <v>11</v>
      </c>
      <c r="N23" s="11" t="s">
        <v>9</v>
      </c>
      <c r="O23" s="11" t="s">
        <v>10</v>
      </c>
      <c r="P23" s="11" t="s">
        <v>11</v>
      </c>
      <c r="Q23" s="11" t="s">
        <v>9</v>
      </c>
      <c r="R23" s="11" t="s">
        <v>10</v>
      </c>
      <c r="S23" s="11" t="s">
        <v>11</v>
      </c>
      <c r="T23" s="11" t="s">
        <v>9</v>
      </c>
      <c r="U23" s="11" t="s">
        <v>10</v>
      </c>
      <c r="V23" s="11" t="s">
        <v>11</v>
      </c>
      <c r="W23" s="11" t="s">
        <v>9</v>
      </c>
      <c r="X23" s="11" t="s">
        <v>10</v>
      </c>
      <c r="Y23" s="11" t="s">
        <v>11</v>
      </c>
      <c r="Z23" s="11" t="s">
        <v>9</v>
      </c>
      <c r="AA23" s="11" t="s">
        <v>10</v>
      </c>
      <c r="AB23" s="11" t="s">
        <v>11</v>
      </c>
      <c r="AC23" s="11" t="s">
        <v>12</v>
      </c>
      <c r="AD23" s="11" t="s">
        <v>13</v>
      </c>
      <c r="AE23" s="12" t="s">
        <v>11</v>
      </c>
    </row>
    <row r="24" spans="2:31" x14ac:dyDescent="0.5">
      <c r="C24" s="2" t="s">
        <v>19</v>
      </c>
      <c r="D24" s="3">
        <v>6</v>
      </c>
      <c r="E24" s="4">
        <v>109</v>
      </c>
      <c r="F24" s="4">
        <v>10</v>
      </c>
      <c r="G24" s="4">
        <v>175</v>
      </c>
      <c r="H24" s="4">
        <v>68</v>
      </c>
      <c r="I24" s="4">
        <v>49</v>
      </c>
      <c r="J24" s="4">
        <v>1044</v>
      </c>
      <c r="K24" s="4">
        <v>125</v>
      </c>
      <c r="L24" s="4">
        <v>30</v>
      </c>
      <c r="M24" s="4">
        <v>555</v>
      </c>
      <c r="N24" s="4">
        <v>52</v>
      </c>
      <c r="O24" s="4">
        <v>38</v>
      </c>
      <c r="P24" s="4">
        <v>860</v>
      </c>
      <c r="Q24" s="4">
        <v>78</v>
      </c>
      <c r="R24" s="4">
        <v>28</v>
      </c>
      <c r="S24" s="4">
        <v>460</v>
      </c>
      <c r="T24" s="4">
        <v>71</v>
      </c>
      <c r="U24" s="4">
        <v>43</v>
      </c>
      <c r="V24" s="4">
        <v>784</v>
      </c>
      <c r="W24" s="4">
        <v>302</v>
      </c>
      <c r="X24" s="4">
        <v>35</v>
      </c>
      <c r="Y24" s="4">
        <v>683</v>
      </c>
      <c r="Z24" s="4">
        <v>201</v>
      </c>
      <c r="AA24" s="4">
        <v>40</v>
      </c>
      <c r="AB24" s="4">
        <v>730</v>
      </c>
      <c r="AC24" s="4">
        <v>503</v>
      </c>
      <c r="AD24" s="4">
        <v>38</v>
      </c>
      <c r="AE24" s="4">
        <v>711</v>
      </c>
    </row>
    <row r="26" spans="2:31" x14ac:dyDescent="0.5">
      <c r="B26" t="s">
        <v>81</v>
      </c>
      <c r="C26" s="20" t="s">
        <v>73</v>
      </c>
      <c r="D26" s="22" t="s">
        <v>0</v>
      </c>
      <c r="E26" s="14" t="s">
        <v>1</v>
      </c>
      <c r="F26" s="15"/>
      <c r="G26" s="16"/>
      <c r="H26" s="14" t="s">
        <v>2</v>
      </c>
      <c r="I26" s="15"/>
      <c r="J26" s="16"/>
      <c r="K26" s="14" t="s">
        <v>3</v>
      </c>
      <c r="L26" s="15"/>
      <c r="M26" s="16"/>
      <c r="N26" s="14" t="s">
        <v>4</v>
      </c>
      <c r="O26" s="15"/>
      <c r="P26" s="16"/>
      <c r="Q26" s="14" t="s">
        <v>5</v>
      </c>
      <c r="R26" s="15"/>
      <c r="S26" s="16"/>
      <c r="T26" s="14" t="s">
        <v>6</v>
      </c>
      <c r="U26" s="15"/>
      <c r="V26" s="16"/>
      <c r="W26" s="14" t="s">
        <v>7</v>
      </c>
      <c r="X26" s="15"/>
      <c r="Y26" s="16"/>
      <c r="Z26" s="14" t="s">
        <v>8</v>
      </c>
      <c r="AA26" s="15"/>
      <c r="AB26" s="16"/>
      <c r="AC26" s="17" t="s">
        <v>75</v>
      </c>
      <c r="AD26" s="18"/>
      <c r="AE26" s="19"/>
    </row>
    <row r="27" spans="2:31" x14ac:dyDescent="0.5">
      <c r="C27" s="21"/>
      <c r="D27" s="23"/>
      <c r="E27" s="11" t="s">
        <v>9</v>
      </c>
      <c r="F27" s="11" t="s">
        <v>10</v>
      </c>
      <c r="G27" s="11" t="s">
        <v>11</v>
      </c>
      <c r="H27" s="11" t="s">
        <v>9</v>
      </c>
      <c r="I27" s="11" t="s">
        <v>10</v>
      </c>
      <c r="J27" s="11" t="s">
        <v>11</v>
      </c>
      <c r="K27" s="11" t="s">
        <v>9</v>
      </c>
      <c r="L27" s="11" t="s">
        <v>10</v>
      </c>
      <c r="M27" s="11" t="s">
        <v>11</v>
      </c>
      <c r="N27" s="11" t="s">
        <v>9</v>
      </c>
      <c r="O27" s="11" t="s">
        <v>10</v>
      </c>
      <c r="P27" s="11" t="s">
        <v>11</v>
      </c>
      <c r="Q27" s="11" t="s">
        <v>9</v>
      </c>
      <c r="R27" s="11" t="s">
        <v>10</v>
      </c>
      <c r="S27" s="11" t="s">
        <v>11</v>
      </c>
      <c r="T27" s="11" t="s">
        <v>9</v>
      </c>
      <c r="U27" s="11" t="s">
        <v>10</v>
      </c>
      <c r="V27" s="11" t="s">
        <v>11</v>
      </c>
      <c r="W27" s="11" t="s">
        <v>9</v>
      </c>
      <c r="X27" s="11" t="s">
        <v>10</v>
      </c>
      <c r="Y27" s="11" t="s">
        <v>11</v>
      </c>
      <c r="Z27" s="11" t="s">
        <v>9</v>
      </c>
      <c r="AA27" s="11" t="s">
        <v>10</v>
      </c>
      <c r="AB27" s="11" t="s">
        <v>11</v>
      </c>
      <c r="AC27" s="11" t="s">
        <v>12</v>
      </c>
      <c r="AD27" s="11" t="s">
        <v>13</v>
      </c>
      <c r="AE27" s="12" t="s">
        <v>11</v>
      </c>
    </row>
    <row r="28" spans="2:31" x14ac:dyDescent="0.5">
      <c r="C28" s="2" t="s">
        <v>20</v>
      </c>
      <c r="D28" s="3">
        <v>7</v>
      </c>
      <c r="E28" s="4">
        <v>109</v>
      </c>
      <c r="F28" s="4">
        <v>10</v>
      </c>
      <c r="G28" s="4">
        <v>175</v>
      </c>
      <c r="H28" s="4">
        <v>87</v>
      </c>
      <c r="I28" s="4">
        <v>34</v>
      </c>
      <c r="J28" s="4">
        <v>660</v>
      </c>
      <c r="K28" s="4">
        <v>135.5</v>
      </c>
      <c r="L28" s="4">
        <v>8</v>
      </c>
      <c r="M28" s="4">
        <v>198</v>
      </c>
      <c r="N28" s="4">
        <v>49</v>
      </c>
      <c r="O28" s="4">
        <v>44</v>
      </c>
      <c r="P28" s="4">
        <v>926</v>
      </c>
      <c r="Q28" s="4">
        <v>70</v>
      </c>
      <c r="R28" s="4">
        <v>41</v>
      </c>
      <c r="S28" s="4">
        <v>743</v>
      </c>
      <c r="T28" s="4">
        <v>78</v>
      </c>
      <c r="U28" s="4">
        <v>36</v>
      </c>
      <c r="V28" s="4">
        <v>568</v>
      </c>
      <c r="W28" s="4">
        <v>331.5</v>
      </c>
      <c r="X28" s="4">
        <v>17</v>
      </c>
      <c r="Y28" s="4">
        <v>334</v>
      </c>
      <c r="Z28" s="4">
        <v>197</v>
      </c>
      <c r="AA28" s="4">
        <v>42</v>
      </c>
      <c r="AB28" s="4">
        <v>769</v>
      </c>
      <c r="AC28" s="4">
        <v>528.5</v>
      </c>
      <c r="AD28" s="4">
        <v>33</v>
      </c>
      <c r="AE28" s="4">
        <v>571</v>
      </c>
    </row>
    <row r="30" spans="2:31" x14ac:dyDescent="0.5">
      <c r="B30" t="s">
        <v>81</v>
      </c>
      <c r="C30" s="20" t="s">
        <v>73</v>
      </c>
      <c r="D30" s="22" t="s">
        <v>0</v>
      </c>
      <c r="E30" s="14" t="s">
        <v>1</v>
      </c>
      <c r="F30" s="15"/>
      <c r="G30" s="16"/>
      <c r="H30" s="14" t="s">
        <v>2</v>
      </c>
      <c r="I30" s="15"/>
      <c r="J30" s="16"/>
      <c r="K30" s="14" t="s">
        <v>3</v>
      </c>
      <c r="L30" s="15"/>
      <c r="M30" s="16"/>
      <c r="N30" s="14" t="s">
        <v>4</v>
      </c>
      <c r="O30" s="15"/>
      <c r="P30" s="16"/>
      <c r="Q30" s="14" t="s">
        <v>5</v>
      </c>
      <c r="R30" s="15"/>
      <c r="S30" s="16"/>
      <c r="T30" s="14" t="s">
        <v>6</v>
      </c>
      <c r="U30" s="15"/>
      <c r="V30" s="16"/>
      <c r="W30" s="14" t="s">
        <v>7</v>
      </c>
      <c r="X30" s="15"/>
      <c r="Y30" s="16"/>
      <c r="Z30" s="14" t="s">
        <v>8</v>
      </c>
      <c r="AA30" s="15"/>
      <c r="AB30" s="16"/>
      <c r="AC30" s="17" t="s">
        <v>75</v>
      </c>
      <c r="AD30" s="18"/>
      <c r="AE30" s="19"/>
    </row>
    <row r="31" spans="2:31" x14ac:dyDescent="0.5">
      <c r="C31" s="21"/>
      <c r="D31" s="23"/>
      <c r="E31" s="11" t="s">
        <v>9</v>
      </c>
      <c r="F31" s="11" t="s">
        <v>10</v>
      </c>
      <c r="G31" s="11" t="s">
        <v>11</v>
      </c>
      <c r="H31" s="11" t="s">
        <v>9</v>
      </c>
      <c r="I31" s="11" t="s">
        <v>10</v>
      </c>
      <c r="J31" s="11" t="s">
        <v>11</v>
      </c>
      <c r="K31" s="11" t="s">
        <v>9</v>
      </c>
      <c r="L31" s="11" t="s">
        <v>10</v>
      </c>
      <c r="M31" s="11" t="s">
        <v>11</v>
      </c>
      <c r="N31" s="11" t="s">
        <v>9</v>
      </c>
      <c r="O31" s="11" t="s">
        <v>10</v>
      </c>
      <c r="P31" s="11" t="s">
        <v>11</v>
      </c>
      <c r="Q31" s="11" t="s">
        <v>9</v>
      </c>
      <c r="R31" s="11" t="s">
        <v>10</v>
      </c>
      <c r="S31" s="11" t="s">
        <v>11</v>
      </c>
      <c r="T31" s="11" t="s">
        <v>9</v>
      </c>
      <c r="U31" s="11" t="s">
        <v>10</v>
      </c>
      <c r="V31" s="11" t="s">
        <v>11</v>
      </c>
      <c r="W31" s="11" t="s">
        <v>9</v>
      </c>
      <c r="X31" s="11" t="s">
        <v>10</v>
      </c>
      <c r="Y31" s="11" t="s">
        <v>11</v>
      </c>
      <c r="Z31" s="11" t="s">
        <v>9</v>
      </c>
      <c r="AA31" s="11" t="s">
        <v>10</v>
      </c>
      <c r="AB31" s="11" t="s">
        <v>11</v>
      </c>
      <c r="AC31" s="11" t="s">
        <v>12</v>
      </c>
      <c r="AD31" s="11" t="s">
        <v>13</v>
      </c>
      <c r="AE31" s="12" t="s">
        <v>11</v>
      </c>
    </row>
    <row r="32" spans="2:31" x14ac:dyDescent="0.5">
      <c r="C32" s="2" t="s">
        <v>21</v>
      </c>
      <c r="D32" s="3">
        <v>8</v>
      </c>
      <c r="E32" s="4">
        <v>119</v>
      </c>
      <c r="F32" s="4">
        <v>1</v>
      </c>
      <c r="G32" s="4">
        <v>17</v>
      </c>
      <c r="H32" s="4">
        <v>111</v>
      </c>
      <c r="I32" s="4">
        <v>10</v>
      </c>
      <c r="J32" s="4">
        <v>194</v>
      </c>
      <c r="K32" s="4">
        <v>139.5</v>
      </c>
      <c r="L32" s="4">
        <v>2</v>
      </c>
      <c r="M32" s="4">
        <v>72</v>
      </c>
      <c r="N32" s="4">
        <v>82</v>
      </c>
      <c r="O32" s="4">
        <v>12</v>
      </c>
      <c r="P32" s="4">
        <v>231</v>
      </c>
      <c r="Q32" s="4">
        <v>88</v>
      </c>
      <c r="R32" s="4">
        <v>9</v>
      </c>
      <c r="S32" s="4">
        <v>158</v>
      </c>
      <c r="T32" s="4">
        <v>95</v>
      </c>
      <c r="U32" s="4">
        <v>4</v>
      </c>
      <c r="V32" s="4">
        <v>32</v>
      </c>
      <c r="W32" s="4">
        <v>369.5</v>
      </c>
      <c r="X32" s="4">
        <v>2</v>
      </c>
      <c r="Y32" s="4">
        <v>59</v>
      </c>
      <c r="Z32" s="4">
        <v>265</v>
      </c>
      <c r="AA32" s="4">
        <v>8</v>
      </c>
      <c r="AB32" s="4">
        <v>130</v>
      </c>
      <c r="AC32" s="4">
        <v>634.5</v>
      </c>
      <c r="AD32" s="4">
        <v>4</v>
      </c>
      <c r="AE32" s="4">
        <v>69</v>
      </c>
    </row>
    <row r="34" spans="2:31" x14ac:dyDescent="0.5">
      <c r="B34" t="s">
        <v>81</v>
      </c>
      <c r="C34" s="20" t="s">
        <v>73</v>
      </c>
      <c r="D34" s="22" t="s">
        <v>0</v>
      </c>
      <c r="E34" s="14" t="s">
        <v>1</v>
      </c>
      <c r="F34" s="15"/>
      <c r="G34" s="16"/>
      <c r="H34" s="14" t="s">
        <v>2</v>
      </c>
      <c r="I34" s="15"/>
      <c r="J34" s="16"/>
      <c r="K34" s="14" t="s">
        <v>3</v>
      </c>
      <c r="L34" s="15"/>
      <c r="M34" s="16"/>
      <c r="N34" s="14" t="s">
        <v>4</v>
      </c>
      <c r="O34" s="15"/>
      <c r="P34" s="16"/>
      <c r="Q34" s="14" t="s">
        <v>5</v>
      </c>
      <c r="R34" s="15"/>
      <c r="S34" s="16"/>
      <c r="T34" s="14" t="s">
        <v>6</v>
      </c>
      <c r="U34" s="15"/>
      <c r="V34" s="16"/>
      <c r="W34" s="14" t="s">
        <v>7</v>
      </c>
      <c r="X34" s="15"/>
      <c r="Y34" s="16"/>
      <c r="Z34" s="14" t="s">
        <v>8</v>
      </c>
      <c r="AA34" s="15"/>
      <c r="AB34" s="16"/>
      <c r="AC34" s="17" t="s">
        <v>75</v>
      </c>
      <c r="AD34" s="18"/>
      <c r="AE34" s="19"/>
    </row>
    <row r="35" spans="2:31" x14ac:dyDescent="0.5">
      <c r="C35" s="21"/>
      <c r="D35" s="23"/>
      <c r="E35" s="11" t="s">
        <v>9</v>
      </c>
      <c r="F35" s="11" t="s">
        <v>10</v>
      </c>
      <c r="G35" s="11" t="s">
        <v>11</v>
      </c>
      <c r="H35" s="11" t="s">
        <v>9</v>
      </c>
      <c r="I35" s="11" t="s">
        <v>10</v>
      </c>
      <c r="J35" s="11" t="s">
        <v>11</v>
      </c>
      <c r="K35" s="11" t="s">
        <v>9</v>
      </c>
      <c r="L35" s="11" t="s">
        <v>10</v>
      </c>
      <c r="M35" s="11" t="s">
        <v>11</v>
      </c>
      <c r="N35" s="11" t="s">
        <v>9</v>
      </c>
      <c r="O35" s="11" t="s">
        <v>10</v>
      </c>
      <c r="P35" s="11" t="s">
        <v>11</v>
      </c>
      <c r="Q35" s="11" t="s">
        <v>9</v>
      </c>
      <c r="R35" s="11" t="s">
        <v>10</v>
      </c>
      <c r="S35" s="11" t="s">
        <v>11</v>
      </c>
      <c r="T35" s="11" t="s">
        <v>9</v>
      </c>
      <c r="U35" s="11" t="s">
        <v>10</v>
      </c>
      <c r="V35" s="11" t="s">
        <v>11</v>
      </c>
      <c r="W35" s="11" t="s">
        <v>9</v>
      </c>
      <c r="X35" s="11" t="s">
        <v>10</v>
      </c>
      <c r="Y35" s="11" t="s">
        <v>11</v>
      </c>
      <c r="Z35" s="11" t="s">
        <v>9</v>
      </c>
      <c r="AA35" s="11" t="s">
        <v>10</v>
      </c>
      <c r="AB35" s="11" t="s">
        <v>11</v>
      </c>
      <c r="AC35" s="11" t="s">
        <v>12</v>
      </c>
      <c r="AD35" s="11" t="s">
        <v>13</v>
      </c>
      <c r="AE35" s="12" t="s">
        <v>11</v>
      </c>
    </row>
    <row r="36" spans="2:31" x14ac:dyDescent="0.5">
      <c r="C36" s="2" t="s">
        <v>22</v>
      </c>
      <c r="D36" s="3">
        <v>9</v>
      </c>
      <c r="E36" s="4">
        <v>93</v>
      </c>
      <c r="F36" s="4">
        <v>39</v>
      </c>
      <c r="G36" s="4">
        <v>824</v>
      </c>
      <c r="H36" s="4">
        <v>79</v>
      </c>
      <c r="I36" s="4">
        <v>41</v>
      </c>
      <c r="J36" s="4">
        <v>814</v>
      </c>
      <c r="K36" s="4">
        <v>120</v>
      </c>
      <c r="L36" s="4">
        <v>39</v>
      </c>
      <c r="M36" s="4">
        <v>752</v>
      </c>
      <c r="N36" s="4">
        <v>82</v>
      </c>
      <c r="O36" s="4">
        <v>12</v>
      </c>
      <c r="P36" s="4">
        <v>231</v>
      </c>
      <c r="Q36" s="4">
        <v>88</v>
      </c>
      <c r="R36" s="4">
        <v>9</v>
      </c>
      <c r="S36" s="4">
        <v>158</v>
      </c>
      <c r="T36" s="4">
        <v>85</v>
      </c>
      <c r="U36" s="4">
        <v>22</v>
      </c>
      <c r="V36" s="4">
        <v>344</v>
      </c>
      <c r="W36" s="4">
        <v>292</v>
      </c>
      <c r="X36" s="4">
        <v>41</v>
      </c>
      <c r="Y36" s="4">
        <v>829</v>
      </c>
      <c r="Z36" s="4">
        <v>255</v>
      </c>
      <c r="AA36" s="4">
        <v>15</v>
      </c>
      <c r="AB36" s="4">
        <v>214</v>
      </c>
      <c r="AC36" s="4">
        <v>547</v>
      </c>
      <c r="AD36" s="4">
        <v>25</v>
      </c>
      <c r="AE36" s="4">
        <v>466</v>
      </c>
    </row>
    <row r="38" spans="2:31" x14ac:dyDescent="0.5">
      <c r="B38" t="s">
        <v>81</v>
      </c>
      <c r="C38" s="20" t="s">
        <v>73</v>
      </c>
      <c r="D38" s="22" t="s">
        <v>0</v>
      </c>
      <c r="E38" s="14" t="s">
        <v>1</v>
      </c>
      <c r="F38" s="15"/>
      <c r="G38" s="16"/>
      <c r="H38" s="14" t="s">
        <v>2</v>
      </c>
      <c r="I38" s="15"/>
      <c r="J38" s="16"/>
      <c r="K38" s="14" t="s">
        <v>3</v>
      </c>
      <c r="L38" s="15"/>
      <c r="M38" s="16"/>
      <c r="N38" s="14" t="s">
        <v>4</v>
      </c>
      <c r="O38" s="15"/>
      <c r="P38" s="16"/>
      <c r="Q38" s="14" t="s">
        <v>5</v>
      </c>
      <c r="R38" s="15"/>
      <c r="S38" s="16"/>
      <c r="T38" s="14" t="s">
        <v>6</v>
      </c>
      <c r="U38" s="15"/>
      <c r="V38" s="16"/>
      <c r="W38" s="14" t="s">
        <v>7</v>
      </c>
      <c r="X38" s="15"/>
      <c r="Y38" s="16"/>
      <c r="Z38" s="14" t="s">
        <v>8</v>
      </c>
      <c r="AA38" s="15"/>
      <c r="AB38" s="16"/>
      <c r="AC38" s="17" t="s">
        <v>75</v>
      </c>
      <c r="AD38" s="18"/>
      <c r="AE38" s="19"/>
    </row>
    <row r="39" spans="2:31" x14ac:dyDescent="0.5">
      <c r="C39" s="21"/>
      <c r="D39" s="23"/>
      <c r="E39" s="11" t="s">
        <v>9</v>
      </c>
      <c r="F39" s="11" t="s">
        <v>10</v>
      </c>
      <c r="G39" s="11" t="s">
        <v>11</v>
      </c>
      <c r="H39" s="11" t="s">
        <v>9</v>
      </c>
      <c r="I39" s="11" t="s">
        <v>10</v>
      </c>
      <c r="J39" s="11" t="s">
        <v>11</v>
      </c>
      <c r="K39" s="11" t="s">
        <v>9</v>
      </c>
      <c r="L39" s="11" t="s">
        <v>10</v>
      </c>
      <c r="M39" s="11" t="s">
        <v>11</v>
      </c>
      <c r="N39" s="11" t="s">
        <v>9</v>
      </c>
      <c r="O39" s="11" t="s">
        <v>10</v>
      </c>
      <c r="P39" s="11" t="s">
        <v>11</v>
      </c>
      <c r="Q39" s="11" t="s">
        <v>9</v>
      </c>
      <c r="R39" s="11" t="s">
        <v>10</v>
      </c>
      <c r="S39" s="11" t="s">
        <v>11</v>
      </c>
      <c r="T39" s="11" t="s">
        <v>9</v>
      </c>
      <c r="U39" s="11" t="s">
        <v>10</v>
      </c>
      <c r="V39" s="11" t="s">
        <v>11</v>
      </c>
      <c r="W39" s="11" t="s">
        <v>9</v>
      </c>
      <c r="X39" s="11" t="s">
        <v>10</v>
      </c>
      <c r="Y39" s="11" t="s">
        <v>11</v>
      </c>
      <c r="Z39" s="11" t="s">
        <v>9</v>
      </c>
      <c r="AA39" s="11" t="s">
        <v>10</v>
      </c>
      <c r="AB39" s="11" t="s">
        <v>11</v>
      </c>
      <c r="AC39" s="11" t="s">
        <v>12</v>
      </c>
      <c r="AD39" s="11" t="s">
        <v>13</v>
      </c>
      <c r="AE39" s="12" t="s">
        <v>11</v>
      </c>
    </row>
    <row r="40" spans="2:31" x14ac:dyDescent="0.5">
      <c r="C40" s="2" t="s">
        <v>23</v>
      </c>
      <c r="D40" s="3">
        <v>10</v>
      </c>
      <c r="E40" s="4">
        <v>105</v>
      </c>
      <c r="F40" s="4">
        <v>16</v>
      </c>
      <c r="G40" s="4">
        <v>307</v>
      </c>
      <c r="H40" s="4">
        <v>74</v>
      </c>
      <c r="I40" s="4">
        <v>46</v>
      </c>
      <c r="J40" s="4">
        <v>916</v>
      </c>
      <c r="K40" s="4">
        <v>114.5</v>
      </c>
      <c r="L40" s="4">
        <v>45</v>
      </c>
      <c r="M40" s="4">
        <v>933</v>
      </c>
      <c r="N40" s="4">
        <v>77</v>
      </c>
      <c r="O40" s="4">
        <v>16</v>
      </c>
      <c r="P40" s="4">
        <v>305</v>
      </c>
      <c r="Q40" s="4">
        <v>68</v>
      </c>
      <c r="R40" s="4">
        <v>45</v>
      </c>
      <c r="S40" s="4">
        <v>803</v>
      </c>
      <c r="T40" s="4">
        <v>80</v>
      </c>
      <c r="U40" s="4">
        <v>33</v>
      </c>
      <c r="V40" s="4">
        <v>497</v>
      </c>
      <c r="W40" s="4">
        <v>293.5</v>
      </c>
      <c r="X40" s="4">
        <v>39</v>
      </c>
      <c r="Y40" s="4">
        <v>810</v>
      </c>
      <c r="Z40" s="4">
        <v>225</v>
      </c>
      <c r="AA40" s="4">
        <v>26</v>
      </c>
      <c r="AB40" s="4">
        <v>485</v>
      </c>
      <c r="AC40" s="4">
        <v>518.5</v>
      </c>
      <c r="AD40" s="4">
        <v>35</v>
      </c>
      <c r="AE40" s="4">
        <v>624</v>
      </c>
    </row>
    <row r="42" spans="2:31" x14ac:dyDescent="0.5">
      <c r="B42" t="s">
        <v>81</v>
      </c>
      <c r="C42" s="20" t="s">
        <v>73</v>
      </c>
      <c r="D42" s="22" t="s">
        <v>0</v>
      </c>
      <c r="E42" s="14" t="s">
        <v>1</v>
      </c>
      <c r="F42" s="15"/>
      <c r="G42" s="16"/>
      <c r="H42" s="14" t="s">
        <v>2</v>
      </c>
      <c r="I42" s="15"/>
      <c r="J42" s="16"/>
      <c r="K42" s="14" t="s">
        <v>3</v>
      </c>
      <c r="L42" s="15"/>
      <c r="M42" s="16"/>
      <c r="N42" s="14" t="s">
        <v>4</v>
      </c>
      <c r="O42" s="15"/>
      <c r="P42" s="16"/>
      <c r="Q42" s="14" t="s">
        <v>5</v>
      </c>
      <c r="R42" s="15"/>
      <c r="S42" s="16"/>
      <c r="T42" s="14" t="s">
        <v>6</v>
      </c>
      <c r="U42" s="15"/>
      <c r="V42" s="16"/>
      <c r="W42" s="14" t="s">
        <v>7</v>
      </c>
      <c r="X42" s="15"/>
      <c r="Y42" s="16"/>
      <c r="Z42" s="14" t="s">
        <v>8</v>
      </c>
      <c r="AA42" s="15"/>
      <c r="AB42" s="16"/>
      <c r="AC42" s="17" t="s">
        <v>75</v>
      </c>
      <c r="AD42" s="18"/>
      <c r="AE42" s="19"/>
    </row>
    <row r="43" spans="2:31" x14ac:dyDescent="0.5">
      <c r="C43" s="21"/>
      <c r="D43" s="23"/>
      <c r="E43" s="11" t="s">
        <v>9</v>
      </c>
      <c r="F43" s="11" t="s">
        <v>10</v>
      </c>
      <c r="G43" s="11" t="s">
        <v>11</v>
      </c>
      <c r="H43" s="11" t="s">
        <v>9</v>
      </c>
      <c r="I43" s="11" t="s">
        <v>10</v>
      </c>
      <c r="J43" s="11" t="s">
        <v>11</v>
      </c>
      <c r="K43" s="11" t="s">
        <v>9</v>
      </c>
      <c r="L43" s="11" t="s">
        <v>10</v>
      </c>
      <c r="M43" s="11" t="s">
        <v>11</v>
      </c>
      <c r="N43" s="11" t="s">
        <v>9</v>
      </c>
      <c r="O43" s="11" t="s">
        <v>10</v>
      </c>
      <c r="P43" s="11" t="s">
        <v>11</v>
      </c>
      <c r="Q43" s="11" t="s">
        <v>9</v>
      </c>
      <c r="R43" s="11" t="s">
        <v>10</v>
      </c>
      <c r="S43" s="11" t="s">
        <v>11</v>
      </c>
      <c r="T43" s="11" t="s">
        <v>9</v>
      </c>
      <c r="U43" s="11" t="s">
        <v>10</v>
      </c>
      <c r="V43" s="11" t="s">
        <v>11</v>
      </c>
      <c r="W43" s="11" t="s">
        <v>9</v>
      </c>
      <c r="X43" s="11" t="s">
        <v>10</v>
      </c>
      <c r="Y43" s="11" t="s">
        <v>11</v>
      </c>
      <c r="Z43" s="11" t="s">
        <v>9</v>
      </c>
      <c r="AA43" s="11" t="s">
        <v>10</v>
      </c>
      <c r="AB43" s="11" t="s">
        <v>11</v>
      </c>
      <c r="AC43" s="11" t="s">
        <v>12</v>
      </c>
      <c r="AD43" s="11" t="s">
        <v>13</v>
      </c>
      <c r="AE43" s="12" t="s">
        <v>11</v>
      </c>
    </row>
    <row r="44" spans="2:31" x14ac:dyDescent="0.5">
      <c r="C44" s="2" t="s">
        <v>24</v>
      </c>
      <c r="D44" s="3">
        <v>11</v>
      </c>
      <c r="E44" s="4">
        <v>98</v>
      </c>
      <c r="F44" s="4">
        <v>28</v>
      </c>
      <c r="G44" s="4">
        <v>604</v>
      </c>
      <c r="H44" s="4">
        <v>90</v>
      </c>
      <c r="I44" s="4">
        <v>29</v>
      </c>
      <c r="J44" s="4">
        <v>594</v>
      </c>
      <c r="K44" s="4">
        <v>99.5</v>
      </c>
      <c r="L44" s="4">
        <v>58</v>
      </c>
      <c r="M44" s="4">
        <v>1248</v>
      </c>
      <c r="N44" s="4">
        <v>50</v>
      </c>
      <c r="O44" s="4">
        <v>42</v>
      </c>
      <c r="P44" s="4">
        <v>902</v>
      </c>
      <c r="Q44" s="4">
        <v>70</v>
      </c>
      <c r="R44" s="4">
        <v>41</v>
      </c>
      <c r="S44" s="4">
        <v>743</v>
      </c>
      <c r="T44" s="4">
        <v>63</v>
      </c>
      <c r="U44" s="4">
        <v>54</v>
      </c>
      <c r="V44" s="4">
        <v>1012</v>
      </c>
      <c r="W44" s="4">
        <v>287.5</v>
      </c>
      <c r="X44" s="4">
        <v>44</v>
      </c>
      <c r="Y44" s="4">
        <v>884</v>
      </c>
      <c r="Z44" s="4">
        <v>183</v>
      </c>
      <c r="AA44" s="4">
        <v>47</v>
      </c>
      <c r="AB44" s="4">
        <v>907</v>
      </c>
      <c r="AC44" s="4">
        <v>470.5</v>
      </c>
      <c r="AD44" s="4">
        <v>47</v>
      </c>
      <c r="AE44" s="4">
        <v>902</v>
      </c>
    </row>
    <row r="46" spans="2:31" x14ac:dyDescent="0.5">
      <c r="B46" t="s">
        <v>81</v>
      </c>
      <c r="C46" s="20" t="s">
        <v>73</v>
      </c>
      <c r="D46" s="22" t="s">
        <v>0</v>
      </c>
      <c r="E46" s="14" t="s">
        <v>1</v>
      </c>
      <c r="F46" s="15"/>
      <c r="G46" s="16"/>
      <c r="H46" s="14" t="s">
        <v>2</v>
      </c>
      <c r="I46" s="15"/>
      <c r="J46" s="16"/>
      <c r="K46" s="14" t="s">
        <v>3</v>
      </c>
      <c r="L46" s="15"/>
      <c r="M46" s="16"/>
      <c r="N46" s="14" t="s">
        <v>4</v>
      </c>
      <c r="O46" s="15"/>
      <c r="P46" s="16"/>
      <c r="Q46" s="14" t="s">
        <v>5</v>
      </c>
      <c r="R46" s="15"/>
      <c r="S46" s="16"/>
      <c r="T46" s="14" t="s">
        <v>6</v>
      </c>
      <c r="U46" s="15"/>
      <c r="V46" s="16"/>
      <c r="W46" s="14" t="s">
        <v>7</v>
      </c>
      <c r="X46" s="15"/>
      <c r="Y46" s="16"/>
      <c r="Z46" s="14" t="s">
        <v>8</v>
      </c>
      <c r="AA46" s="15"/>
      <c r="AB46" s="16"/>
      <c r="AC46" s="17" t="s">
        <v>75</v>
      </c>
      <c r="AD46" s="18"/>
      <c r="AE46" s="19"/>
    </row>
    <row r="47" spans="2:31" x14ac:dyDescent="0.5">
      <c r="C47" s="21"/>
      <c r="D47" s="23"/>
      <c r="E47" s="11" t="s">
        <v>9</v>
      </c>
      <c r="F47" s="11" t="s">
        <v>10</v>
      </c>
      <c r="G47" s="11" t="s">
        <v>11</v>
      </c>
      <c r="H47" s="11" t="s">
        <v>9</v>
      </c>
      <c r="I47" s="11" t="s">
        <v>10</v>
      </c>
      <c r="J47" s="11" t="s">
        <v>11</v>
      </c>
      <c r="K47" s="11" t="s">
        <v>9</v>
      </c>
      <c r="L47" s="11" t="s">
        <v>10</v>
      </c>
      <c r="M47" s="11" t="s">
        <v>11</v>
      </c>
      <c r="N47" s="11" t="s">
        <v>9</v>
      </c>
      <c r="O47" s="11" t="s">
        <v>10</v>
      </c>
      <c r="P47" s="11" t="s">
        <v>11</v>
      </c>
      <c r="Q47" s="11" t="s">
        <v>9</v>
      </c>
      <c r="R47" s="11" t="s">
        <v>10</v>
      </c>
      <c r="S47" s="11" t="s">
        <v>11</v>
      </c>
      <c r="T47" s="11" t="s">
        <v>9</v>
      </c>
      <c r="U47" s="11" t="s">
        <v>10</v>
      </c>
      <c r="V47" s="11" t="s">
        <v>11</v>
      </c>
      <c r="W47" s="11" t="s">
        <v>9</v>
      </c>
      <c r="X47" s="11" t="s">
        <v>10</v>
      </c>
      <c r="Y47" s="11" t="s">
        <v>11</v>
      </c>
      <c r="Z47" s="11" t="s">
        <v>9</v>
      </c>
      <c r="AA47" s="11" t="s">
        <v>10</v>
      </c>
      <c r="AB47" s="11" t="s">
        <v>11</v>
      </c>
      <c r="AC47" s="11" t="s">
        <v>12</v>
      </c>
      <c r="AD47" s="11" t="s">
        <v>13</v>
      </c>
      <c r="AE47" s="12" t="s">
        <v>11</v>
      </c>
    </row>
    <row r="48" spans="2:31" x14ac:dyDescent="0.5">
      <c r="C48" s="2" t="s">
        <v>25</v>
      </c>
      <c r="D48" s="3">
        <v>12</v>
      </c>
      <c r="E48" s="4">
        <v>99</v>
      </c>
      <c r="F48" s="4">
        <v>27</v>
      </c>
      <c r="G48" s="4">
        <v>548</v>
      </c>
      <c r="H48" s="4">
        <v>76</v>
      </c>
      <c r="I48" s="4">
        <v>45</v>
      </c>
      <c r="J48" s="4">
        <v>882</v>
      </c>
      <c r="K48" s="4">
        <v>124.5</v>
      </c>
      <c r="L48" s="4">
        <v>33</v>
      </c>
      <c r="M48" s="4">
        <v>578</v>
      </c>
      <c r="N48" s="4">
        <v>43</v>
      </c>
      <c r="O48" s="4">
        <v>49</v>
      </c>
      <c r="P48" s="4">
        <v>1046</v>
      </c>
      <c r="Q48" s="4">
        <v>56</v>
      </c>
      <c r="R48" s="4">
        <v>56</v>
      </c>
      <c r="S48" s="4">
        <v>1107</v>
      </c>
      <c r="T48" s="4">
        <v>51</v>
      </c>
      <c r="U48" s="4">
        <v>58</v>
      </c>
      <c r="V48" s="4">
        <v>1254</v>
      </c>
      <c r="W48" s="4">
        <v>299.5</v>
      </c>
      <c r="X48" s="4">
        <v>36</v>
      </c>
      <c r="Y48" s="4">
        <v>720</v>
      </c>
      <c r="Z48" s="4">
        <v>150</v>
      </c>
      <c r="AA48" s="4">
        <v>58</v>
      </c>
      <c r="AB48" s="4">
        <v>1184</v>
      </c>
      <c r="AC48" s="4">
        <v>449.5</v>
      </c>
      <c r="AD48" s="4">
        <v>51</v>
      </c>
      <c r="AE48" s="4">
        <v>1015</v>
      </c>
    </row>
    <row r="50" spans="2:31" x14ac:dyDescent="0.5">
      <c r="B50" t="s">
        <v>81</v>
      </c>
      <c r="C50" s="20" t="s">
        <v>73</v>
      </c>
      <c r="D50" s="22" t="s">
        <v>0</v>
      </c>
      <c r="E50" s="14" t="s">
        <v>1</v>
      </c>
      <c r="F50" s="15"/>
      <c r="G50" s="16"/>
      <c r="H50" s="14" t="s">
        <v>2</v>
      </c>
      <c r="I50" s="15"/>
      <c r="J50" s="16"/>
      <c r="K50" s="14" t="s">
        <v>3</v>
      </c>
      <c r="L50" s="15"/>
      <c r="M50" s="16"/>
      <c r="N50" s="14" t="s">
        <v>4</v>
      </c>
      <c r="O50" s="15"/>
      <c r="P50" s="16"/>
      <c r="Q50" s="14" t="s">
        <v>5</v>
      </c>
      <c r="R50" s="15"/>
      <c r="S50" s="16"/>
      <c r="T50" s="14" t="s">
        <v>6</v>
      </c>
      <c r="U50" s="15"/>
      <c r="V50" s="16"/>
      <c r="W50" s="14" t="s">
        <v>7</v>
      </c>
      <c r="X50" s="15"/>
      <c r="Y50" s="16"/>
      <c r="Z50" s="14" t="s">
        <v>8</v>
      </c>
      <c r="AA50" s="15"/>
      <c r="AB50" s="16"/>
      <c r="AC50" s="17" t="s">
        <v>75</v>
      </c>
      <c r="AD50" s="18"/>
      <c r="AE50" s="19"/>
    </row>
    <row r="51" spans="2:31" x14ac:dyDescent="0.5">
      <c r="C51" s="21"/>
      <c r="D51" s="23"/>
      <c r="E51" s="11" t="s">
        <v>9</v>
      </c>
      <c r="F51" s="11" t="s">
        <v>10</v>
      </c>
      <c r="G51" s="11" t="s">
        <v>11</v>
      </c>
      <c r="H51" s="11" t="s">
        <v>9</v>
      </c>
      <c r="I51" s="11" t="s">
        <v>10</v>
      </c>
      <c r="J51" s="11" t="s">
        <v>11</v>
      </c>
      <c r="K51" s="11" t="s">
        <v>9</v>
      </c>
      <c r="L51" s="11" t="s">
        <v>10</v>
      </c>
      <c r="M51" s="11" t="s">
        <v>11</v>
      </c>
      <c r="N51" s="11" t="s">
        <v>9</v>
      </c>
      <c r="O51" s="11" t="s">
        <v>10</v>
      </c>
      <c r="P51" s="11" t="s">
        <v>11</v>
      </c>
      <c r="Q51" s="11" t="s">
        <v>9</v>
      </c>
      <c r="R51" s="11" t="s">
        <v>10</v>
      </c>
      <c r="S51" s="11" t="s">
        <v>11</v>
      </c>
      <c r="T51" s="11" t="s">
        <v>9</v>
      </c>
      <c r="U51" s="11" t="s">
        <v>10</v>
      </c>
      <c r="V51" s="11" t="s">
        <v>11</v>
      </c>
      <c r="W51" s="11" t="s">
        <v>9</v>
      </c>
      <c r="X51" s="11" t="s">
        <v>10</v>
      </c>
      <c r="Y51" s="11" t="s">
        <v>11</v>
      </c>
      <c r="Z51" s="11" t="s">
        <v>9</v>
      </c>
      <c r="AA51" s="11" t="s">
        <v>10</v>
      </c>
      <c r="AB51" s="11" t="s">
        <v>11</v>
      </c>
      <c r="AC51" s="11" t="s">
        <v>12</v>
      </c>
      <c r="AD51" s="11" t="s">
        <v>13</v>
      </c>
      <c r="AE51" s="12" t="s">
        <v>11</v>
      </c>
    </row>
    <row r="52" spans="2:31" x14ac:dyDescent="0.5">
      <c r="C52" s="2" t="s">
        <v>26</v>
      </c>
      <c r="D52" s="3">
        <v>13</v>
      </c>
      <c r="E52" s="4">
        <v>98</v>
      </c>
      <c r="F52" s="4">
        <v>28</v>
      </c>
      <c r="G52" s="4">
        <v>604</v>
      </c>
      <c r="H52" s="4">
        <v>123</v>
      </c>
      <c r="I52" s="4">
        <v>4</v>
      </c>
      <c r="J52" s="4">
        <v>81</v>
      </c>
      <c r="K52" s="4">
        <v>127.5</v>
      </c>
      <c r="L52" s="4">
        <v>24</v>
      </c>
      <c r="M52" s="4">
        <v>473</v>
      </c>
      <c r="N52" s="4">
        <v>108</v>
      </c>
      <c r="O52" s="4">
        <v>1</v>
      </c>
      <c r="P52" s="4">
        <v>1</v>
      </c>
      <c r="Q52" s="4">
        <v>94</v>
      </c>
      <c r="R52" s="4">
        <v>4</v>
      </c>
      <c r="S52" s="4">
        <v>27</v>
      </c>
      <c r="T52" s="4">
        <v>89</v>
      </c>
      <c r="U52" s="4">
        <v>13</v>
      </c>
      <c r="V52" s="4">
        <v>191</v>
      </c>
      <c r="W52" s="4">
        <v>348.5</v>
      </c>
      <c r="X52" s="4">
        <v>4</v>
      </c>
      <c r="Y52" s="4">
        <v>160</v>
      </c>
      <c r="Z52" s="4">
        <v>291</v>
      </c>
      <c r="AA52" s="4">
        <v>2</v>
      </c>
      <c r="AB52" s="4">
        <v>10</v>
      </c>
      <c r="AC52" s="4">
        <v>639.5</v>
      </c>
      <c r="AD52" s="4">
        <v>2</v>
      </c>
      <c r="AE52" s="4">
        <v>57</v>
      </c>
    </row>
    <row r="54" spans="2:31" x14ac:dyDescent="0.5">
      <c r="B54" t="s">
        <v>81</v>
      </c>
      <c r="C54" s="20" t="s">
        <v>73</v>
      </c>
      <c r="D54" s="22" t="s">
        <v>0</v>
      </c>
      <c r="E54" s="14" t="s">
        <v>1</v>
      </c>
      <c r="F54" s="15"/>
      <c r="G54" s="16"/>
      <c r="H54" s="14" t="s">
        <v>2</v>
      </c>
      <c r="I54" s="15"/>
      <c r="J54" s="16"/>
      <c r="K54" s="14" t="s">
        <v>3</v>
      </c>
      <c r="L54" s="15"/>
      <c r="M54" s="16"/>
      <c r="N54" s="14" t="s">
        <v>4</v>
      </c>
      <c r="O54" s="15"/>
      <c r="P54" s="16"/>
      <c r="Q54" s="14" t="s">
        <v>5</v>
      </c>
      <c r="R54" s="15"/>
      <c r="S54" s="16"/>
      <c r="T54" s="14" t="s">
        <v>6</v>
      </c>
      <c r="U54" s="15"/>
      <c r="V54" s="16"/>
      <c r="W54" s="14" t="s">
        <v>7</v>
      </c>
      <c r="X54" s="15"/>
      <c r="Y54" s="16"/>
      <c r="Z54" s="14" t="s">
        <v>8</v>
      </c>
      <c r="AA54" s="15"/>
      <c r="AB54" s="16"/>
      <c r="AC54" s="17" t="s">
        <v>75</v>
      </c>
      <c r="AD54" s="18"/>
      <c r="AE54" s="19"/>
    </row>
    <row r="55" spans="2:31" x14ac:dyDescent="0.5">
      <c r="C55" s="21"/>
      <c r="D55" s="23"/>
      <c r="E55" s="11" t="s">
        <v>9</v>
      </c>
      <c r="F55" s="11" t="s">
        <v>10</v>
      </c>
      <c r="G55" s="11" t="s">
        <v>11</v>
      </c>
      <c r="H55" s="11" t="s">
        <v>9</v>
      </c>
      <c r="I55" s="11" t="s">
        <v>10</v>
      </c>
      <c r="J55" s="11" t="s">
        <v>11</v>
      </c>
      <c r="K55" s="11" t="s">
        <v>9</v>
      </c>
      <c r="L55" s="11" t="s">
        <v>10</v>
      </c>
      <c r="M55" s="11" t="s">
        <v>11</v>
      </c>
      <c r="N55" s="11" t="s">
        <v>9</v>
      </c>
      <c r="O55" s="11" t="s">
        <v>10</v>
      </c>
      <c r="P55" s="11" t="s">
        <v>11</v>
      </c>
      <c r="Q55" s="11" t="s">
        <v>9</v>
      </c>
      <c r="R55" s="11" t="s">
        <v>10</v>
      </c>
      <c r="S55" s="11" t="s">
        <v>11</v>
      </c>
      <c r="T55" s="11" t="s">
        <v>9</v>
      </c>
      <c r="U55" s="11" t="s">
        <v>10</v>
      </c>
      <c r="V55" s="11" t="s">
        <v>11</v>
      </c>
      <c r="W55" s="11" t="s">
        <v>9</v>
      </c>
      <c r="X55" s="11" t="s">
        <v>10</v>
      </c>
      <c r="Y55" s="11" t="s">
        <v>11</v>
      </c>
      <c r="Z55" s="11" t="s">
        <v>9</v>
      </c>
      <c r="AA55" s="11" t="s">
        <v>10</v>
      </c>
      <c r="AB55" s="11" t="s">
        <v>11</v>
      </c>
      <c r="AC55" s="11" t="s">
        <v>12</v>
      </c>
      <c r="AD55" s="11" t="s">
        <v>13</v>
      </c>
      <c r="AE55" s="12" t="s">
        <v>11</v>
      </c>
    </row>
    <row r="56" spans="2:31" x14ac:dyDescent="0.5">
      <c r="C56" s="2" t="s">
        <v>27</v>
      </c>
      <c r="D56" s="3">
        <v>14</v>
      </c>
      <c r="E56" s="4">
        <v>104</v>
      </c>
      <c r="F56" s="4">
        <v>20</v>
      </c>
      <c r="G56" s="4">
        <v>339</v>
      </c>
      <c r="H56" s="4">
        <v>130</v>
      </c>
      <c r="I56" s="4">
        <v>2</v>
      </c>
      <c r="J56" s="4">
        <v>42</v>
      </c>
      <c r="K56" s="4">
        <v>125</v>
      </c>
      <c r="L56" s="4">
        <v>30</v>
      </c>
      <c r="M56" s="4">
        <v>555</v>
      </c>
      <c r="N56" s="4">
        <v>88</v>
      </c>
      <c r="O56" s="4">
        <v>8</v>
      </c>
      <c r="P56" s="4">
        <v>147</v>
      </c>
      <c r="Q56" s="4">
        <v>98</v>
      </c>
      <c r="R56" s="4">
        <v>1</v>
      </c>
      <c r="S56" s="4">
        <v>5</v>
      </c>
      <c r="T56" s="4">
        <v>91</v>
      </c>
      <c r="U56" s="4">
        <v>8</v>
      </c>
      <c r="V56" s="4">
        <v>128</v>
      </c>
      <c r="W56" s="4">
        <v>359</v>
      </c>
      <c r="X56" s="4">
        <v>3</v>
      </c>
      <c r="Y56" s="4">
        <v>101</v>
      </c>
      <c r="Z56" s="4">
        <v>277</v>
      </c>
      <c r="AA56" s="4">
        <v>5</v>
      </c>
      <c r="AB56" s="4">
        <v>60</v>
      </c>
      <c r="AC56" s="4">
        <v>636</v>
      </c>
      <c r="AD56" s="4">
        <v>3</v>
      </c>
      <c r="AE56" s="4">
        <v>66</v>
      </c>
    </row>
    <row r="58" spans="2:31" x14ac:dyDescent="0.5">
      <c r="B58" t="s">
        <v>81</v>
      </c>
      <c r="C58" s="20" t="s">
        <v>73</v>
      </c>
      <c r="D58" s="22" t="s">
        <v>0</v>
      </c>
      <c r="E58" s="14" t="s">
        <v>1</v>
      </c>
      <c r="F58" s="15"/>
      <c r="G58" s="16"/>
      <c r="H58" s="14" t="s">
        <v>2</v>
      </c>
      <c r="I58" s="15"/>
      <c r="J58" s="16"/>
      <c r="K58" s="14" t="s">
        <v>3</v>
      </c>
      <c r="L58" s="15"/>
      <c r="M58" s="16"/>
      <c r="N58" s="14" t="s">
        <v>4</v>
      </c>
      <c r="O58" s="15"/>
      <c r="P58" s="16"/>
      <c r="Q58" s="14" t="s">
        <v>5</v>
      </c>
      <c r="R58" s="15"/>
      <c r="S58" s="16"/>
      <c r="T58" s="14" t="s">
        <v>6</v>
      </c>
      <c r="U58" s="15"/>
      <c r="V58" s="16"/>
      <c r="W58" s="14" t="s">
        <v>7</v>
      </c>
      <c r="X58" s="15"/>
      <c r="Y58" s="16"/>
      <c r="Z58" s="14" t="s">
        <v>8</v>
      </c>
      <c r="AA58" s="15"/>
      <c r="AB58" s="16"/>
      <c r="AC58" s="17" t="s">
        <v>75</v>
      </c>
      <c r="AD58" s="18"/>
      <c r="AE58" s="19"/>
    </row>
    <row r="59" spans="2:31" x14ac:dyDescent="0.5">
      <c r="C59" s="21"/>
      <c r="D59" s="23"/>
      <c r="E59" s="11" t="s">
        <v>9</v>
      </c>
      <c r="F59" s="11" t="s">
        <v>10</v>
      </c>
      <c r="G59" s="11" t="s">
        <v>11</v>
      </c>
      <c r="H59" s="11" t="s">
        <v>9</v>
      </c>
      <c r="I59" s="11" t="s">
        <v>10</v>
      </c>
      <c r="J59" s="11" t="s">
        <v>11</v>
      </c>
      <c r="K59" s="11" t="s">
        <v>9</v>
      </c>
      <c r="L59" s="11" t="s">
        <v>10</v>
      </c>
      <c r="M59" s="11" t="s">
        <v>11</v>
      </c>
      <c r="N59" s="11" t="s">
        <v>9</v>
      </c>
      <c r="O59" s="11" t="s">
        <v>10</v>
      </c>
      <c r="P59" s="11" t="s">
        <v>11</v>
      </c>
      <c r="Q59" s="11" t="s">
        <v>9</v>
      </c>
      <c r="R59" s="11" t="s">
        <v>10</v>
      </c>
      <c r="S59" s="11" t="s">
        <v>11</v>
      </c>
      <c r="T59" s="11" t="s">
        <v>9</v>
      </c>
      <c r="U59" s="11" t="s">
        <v>10</v>
      </c>
      <c r="V59" s="11" t="s">
        <v>11</v>
      </c>
      <c r="W59" s="11" t="s">
        <v>9</v>
      </c>
      <c r="X59" s="11" t="s">
        <v>10</v>
      </c>
      <c r="Y59" s="11" t="s">
        <v>11</v>
      </c>
      <c r="Z59" s="11" t="s">
        <v>9</v>
      </c>
      <c r="AA59" s="11" t="s">
        <v>10</v>
      </c>
      <c r="AB59" s="11" t="s">
        <v>11</v>
      </c>
      <c r="AC59" s="11" t="s">
        <v>12</v>
      </c>
      <c r="AD59" s="11" t="s">
        <v>13</v>
      </c>
      <c r="AE59" s="12" t="s">
        <v>11</v>
      </c>
    </row>
    <row r="60" spans="2:31" x14ac:dyDescent="0.5">
      <c r="C60" s="2" t="s">
        <v>28</v>
      </c>
      <c r="D60" s="3">
        <v>15</v>
      </c>
      <c r="E60" s="4">
        <v>106</v>
      </c>
      <c r="F60" s="4">
        <v>15</v>
      </c>
      <c r="G60" s="4">
        <v>277</v>
      </c>
      <c r="H60" s="4">
        <v>97</v>
      </c>
      <c r="I60" s="4">
        <v>19</v>
      </c>
      <c r="J60" s="4">
        <v>437</v>
      </c>
      <c r="K60" s="4">
        <v>138.5</v>
      </c>
      <c r="L60" s="4">
        <v>3</v>
      </c>
      <c r="M60" s="4">
        <v>94</v>
      </c>
      <c r="N60" s="4">
        <v>56</v>
      </c>
      <c r="O60" s="4">
        <v>35</v>
      </c>
      <c r="P60" s="4">
        <v>786</v>
      </c>
      <c r="Q60" s="4">
        <v>70</v>
      </c>
      <c r="R60" s="4">
        <v>41</v>
      </c>
      <c r="S60" s="4">
        <v>743</v>
      </c>
      <c r="T60" s="4">
        <v>82</v>
      </c>
      <c r="U60" s="4">
        <v>30</v>
      </c>
      <c r="V60" s="4">
        <v>444</v>
      </c>
      <c r="W60" s="4">
        <v>341.5</v>
      </c>
      <c r="X60" s="4">
        <v>8</v>
      </c>
      <c r="Y60" s="4">
        <v>217</v>
      </c>
      <c r="Z60" s="4">
        <v>208</v>
      </c>
      <c r="AA60" s="4">
        <v>36</v>
      </c>
      <c r="AB60" s="4">
        <v>654</v>
      </c>
      <c r="AC60" s="4">
        <v>549.5</v>
      </c>
      <c r="AD60" s="4">
        <v>22</v>
      </c>
      <c r="AE60" s="4">
        <v>443</v>
      </c>
    </row>
    <row r="62" spans="2:31" x14ac:dyDescent="0.5">
      <c r="B62" t="s">
        <v>81</v>
      </c>
      <c r="C62" s="20" t="s">
        <v>73</v>
      </c>
      <c r="D62" s="22" t="s">
        <v>0</v>
      </c>
      <c r="E62" s="14" t="s">
        <v>1</v>
      </c>
      <c r="F62" s="15"/>
      <c r="G62" s="16"/>
      <c r="H62" s="14" t="s">
        <v>2</v>
      </c>
      <c r="I62" s="15"/>
      <c r="J62" s="16"/>
      <c r="K62" s="14" t="s">
        <v>3</v>
      </c>
      <c r="L62" s="15"/>
      <c r="M62" s="16"/>
      <c r="N62" s="14" t="s">
        <v>4</v>
      </c>
      <c r="O62" s="15"/>
      <c r="P62" s="16"/>
      <c r="Q62" s="14" t="s">
        <v>5</v>
      </c>
      <c r="R62" s="15"/>
      <c r="S62" s="16"/>
      <c r="T62" s="14" t="s">
        <v>6</v>
      </c>
      <c r="U62" s="15"/>
      <c r="V62" s="16"/>
      <c r="W62" s="14" t="s">
        <v>7</v>
      </c>
      <c r="X62" s="15"/>
      <c r="Y62" s="16"/>
      <c r="Z62" s="14" t="s">
        <v>8</v>
      </c>
      <c r="AA62" s="15"/>
      <c r="AB62" s="16"/>
      <c r="AC62" s="17" t="s">
        <v>75</v>
      </c>
      <c r="AD62" s="18"/>
      <c r="AE62" s="19"/>
    </row>
    <row r="63" spans="2:31" x14ac:dyDescent="0.5">
      <c r="C63" s="21"/>
      <c r="D63" s="23"/>
      <c r="E63" s="11" t="s">
        <v>9</v>
      </c>
      <c r="F63" s="11" t="s">
        <v>10</v>
      </c>
      <c r="G63" s="11" t="s">
        <v>11</v>
      </c>
      <c r="H63" s="11" t="s">
        <v>9</v>
      </c>
      <c r="I63" s="11" t="s">
        <v>10</v>
      </c>
      <c r="J63" s="11" t="s">
        <v>11</v>
      </c>
      <c r="K63" s="11" t="s">
        <v>9</v>
      </c>
      <c r="L63" s="11" t="s">
        <v>10</v>
      </c>
      <c r="M63" s="11" t="s">
        <v>11</v>
      </c>
      <c r="N63" s="11" t="s">
        <v>9</v>
      </c>
      <c r="O63" s="11" t="s">
        <v>10</v>
      </c>
      <c r="P63" s="11" t="s">
        <v>11</v>
      </c>
      <c r="Q63" s="11" t="s">
        <v>9</v>
      </c>
      <c r="R63" s="11" t="s">
        <v>10</v>
      </c>
      <c r="S63" s="11" t="s">
        <v>11</v>
      </c>
      <c r="T63" s="11" t="s">
        <v>9</v>
      </c>
      <c r="U63" s="11" t="s">
        <v>10</v>
      </c>
      <c r="V63" s="11" t="s">
        <v>11</v>
      </c>
      <c r="W63" s="11" t="s">
        <v>9</v>
      </c>
      <c r="X63" s="11" t="s">
        <v>10</v>
      </c>
      <c r="Y63" s="11" t="s">
        <v>11</v>
      </c>
      <c r="Z63" s="11" t="s">
        <v>9</v>
      </c>
      <c r="AA63" s="11" t="s">
        <v>10</v>
      </c>
      <c r="AB63" s="11" t="s">
        <v>11</v>
      </c>
      <c r="AC63" s="11" t="s">
        <v>12</v>
      </c>
      <c r="AD63" s="11" t="s">
        <v>13</v>
      </c>
      <c r="AE63" s="12" t="s">
        <v>11</v>
      </c>
    </row>
    <row r="64" spans="2:31" x14ac:dyDescent="0.5">
      <c r="C64" s="2" t="s">
        <v>29</v>
      </c>
      <c r="D64" s="3">
        <v>16</v>
      </c>
      <c r="E64" s="4">
        <v>98</v>
      </c>
      <c r="F64" s="4">
        <v>28</v>
      </c>
      <c r="G64" s="4">
        <v>604</v>
      </c>
      <c r="H64" s="4">
        <v>82</v>
      </c>
      <c r="I64" s="4">
        <v>39</v>
      </c>
      <c r="J64" s="4">
        <v>756</v>
      </c>
      <c r="K64" s="4">
        <v>136.5</v>
      </c>
      <c r="L64" s="4">
        <v>7</v>
      </c>
      <c r="M64" s="4">
        <v>157</v>
      </c>
      <c r="N64" s="4">
        <v>72</v>
      </c>
      <c r="O64" s="4">
        <v>23</v>
      </c>
      <c r="P64" s="4">
        <v>427</v>
      </c>
      <c r="Q64" s="4">
        <v>74</v>
      </c>
      <c r="R64" s="4">
        <v>35</v>
      </c>
      <c r="S64" s="4">
        <v>603</v>
      </c>
      <c r="T64" s="4">
        <v>84</v>
      </c>
      <c r="U64" s="4">
        <v>23</v>
      </c>
      <c r="V64" s="4">
        <v>379</v>
      </c>
      <c r="W64" s="4">
        <v>316.5</v>
      </c>
      <c r="X64" s="4">
        <v>28</v>
      </c>
      <c r="Y64" s="4">
        <v>511</v>
      </c>
      <c r="Z64" s="4">
        <v>230</v>
      </c>
      <c r="AA64" s="4">
        <v>24</v>
      </c>
      <c r="AB64" s="4">
        <v>445</v>
      </c>
      <c r="AC64" s="4">
        <v>546.5</v>
      </c>
      <c r="AD64" s="4">
        <v>26</v>
      </c>
      <c r="AE64" s="4">
        <v>468</v>
      </c>
    </row>
    <row r="66" spans="2:31" x14ac:dyDescent="0.5">
      <c r="B66" t="s">
        <v>81</v>
      </c>
      <c r="C66" s="20" t="s">
        <v>73</v>
      </c>
      <c r="D66" s="22" t="s">
        <v>0</v>
      </c>
      <c r="E66" s="14" t="s">
        <v>1</v>
      </c>
      <c r="F66" s="15"/>
      <c r="G66" s="16"/>
      <c r="H66" s="14" t="s">
        <v>2</v>
      </c>
      <c r="I66" s="15"/>
      <c r="J66" s="16"/>
      <c r="K66" s="14" t="s">
        <v>3</v>
      </c>
      <c r="L66" s="15"/>
      <c r="M66" s="16"/>
      <c r="N66" s="14" t="s">
        <v>4</v>
      </c>
      <c r="O66" s="15"/>
      <c r="P66" s="16"/>
      <c r="Q66" s="14" t="s">
        <v>5</v>
      </c>
      <c r="R66" s="15"/>
      <c r="S66" s="16"/>
      <c r="T66" s="14" t="s">
        <v>6</v>
      </c>
      <c r="U66" s="15"/>
      <c r="V66" s="16"/>
      <c r="W66" s="14" t="s">
        <v>7</v>
      </c>
      <c r="X66" s="15"/>
      <c r="Y66" s="16"/>
      <c r="Z66" s="14" t="s">
        <v>8</v>
      </c>
      <c r="AA66" s="15"/>
      <c r="AB66" s="16"/>
      <c r="AC66" s="17" t="s">
        <v>75</v>
      </c>
      <c r="AD66" s="18"/>
      <c r="AE66" s="19"/>
    </row>
    <row r="67" spans="2:31" x14ac:dyDescent="0.5">
      <c r="C67" s="21"/>
      <c r="D67" s="23"/>
      <c r="E67" s="11" t="s">
        <v>9</v>
      </c>
      <c r="F67" s="11" t="s">
        <v>10</v>
      </c>
      <c r="G67" s="11" t="s">
        <v>11</v>
      </c>
      <c r="H67" s="11" t="s">
        <v>9</v>
      </c>
      <c r="I67" s="11" t="s">
        <v>10</v>
      </c>
      <c r="J67" s="11" t="s">
        <v>11</v>
      </c>
      <c r="K67" s="11" t="s">
        <v>9</v>
      </c>
      <c r="L67" s="11" t="s">
        <v>10</v>
      </c>
      <c r="M67" s="11" t="s">
        <v>11</v>
      </c>
      <c r="N67" s="11" t="s">
        <v>9</v>
      </c>
      <c r="O67" s="11" t="s">
        <v>10</v>
      </c>
      <c r="P67" s="11" t="s">
        <v>11</v>
      </c>
      <c r="Q67" s="11" t="s">
        <v>9</v>
      </c>
      <c r="R67" s="11" t="s">
        <v>10</v>
      </c>
      <c r="S67" s="11" t="s">
        <v>11</v>
      </c>
      <c r="T67" s="11" t="s">
        <v>9</v>
      </c>
      <c r="U67" s="11" t="s">
        <v>10</v>
      </c>
      <c r="V67" s="11" t="s">
        <v>11</v>
      </c>
      <c r="W67" s="11" t="s">
        <v>9</v>
      </c>
      <c r="X67" s="11" t="s">
        <v>10</v>
      </c>
      <c r="Y67" s="11" t="s">
        <v>11</v>
      </c>
      <c r="Z67" s="11" t="s">
        <v>9</v>
      </c>
      <c r="AA67" s="11" t="s">
        <v>10</v>
      </c>
      <c r="AB67" s="11" t="s">
        <v>11</v>
      </c>
      <c r="AC67" s="11" t="s">
        <v>12</v>
      </c>
      <c r="AD67" s="11" t="s">
        <v>13</v>
      </c>
      <c r="AE67" s="12" t="s">
        <v>11</v>
      </c>
    </row>
    <row r="68" spans="2:31" x14ac:dyDescent="0.5">
      <c r="C68" s="2" t="s">
        <v>30</v>
      </c>
      <c r="D68" s="3">
        <v>17</v>
      </c>
      <c r="E68" s="4">
        <v>103</v>
      </c>
      <c r="F68" s="4">
        <v>22</v>
      </c>
      <c r="G68" s="4">
        <v>374</v>
      </c>
      <c r="H68" s="4">
        <v>88</v>
      </c>
      <c r="I68" s="4">
        <v>33</v>
      </c>
      <c r="J68" s="4">
        <v>643</v>
      </c>
      <c r="K68" s="4">
        <v>123</v>
      </c>
      <c r="L68" s="4">
        <v>35</v>
      </c>
      <c r="M68" s="4">
        <v>637</v>
      </c>
      <c r="N68" s="4">
        <v>74</v>
      </c>
      <c r="O68" s="4">
        <v>22</v>
      </c>
      <c r="P68" s="4">
        <v>372</v>
      </c>
      <c r="Q68" s="4">
        <v>87</v>
      </c>
      <c r="R68" s="4">
        <v>13</v>
      </c>
      <c r="S68" s="4">
        <v>208</v>
      </c>
      <c r="T68" s="4">
        <v>86</v>
      </c>
      <c r="U68" s="4">
        <v>18</v>
      </c>
      <c r="V68" s="4">
        <v>301</v>
      </c>
      <c r="W68" s="4">
        <v>314</v>
      </c>
      <c r="X68" s="4">
        <v>32</v>
      </c>
      <c r="Y68" s="4">
        <v>540</v>
      </c>
      <c r="Z68" s="4">
        <v>247</v>
      </c>
      <c r="AA68" s="4">
        <v>18</v>
      </c>
      <c r="AB68" s="4">
        <v>285</v>
      </c>
      <c r="AC68" s="4">
        <v>561</v>
      </c>
      <c r="AD68" s="4">
        <v>19</v>
      </c>
      <c r="AE68" s="4">
        <v>369</v>
      </c>
    </row>
    <row r="70" spans="2:31" x14ac:dyDescent="0.5">
      <c r="B70" t="s">
        <v>81</v>
      </c>
      <c r="C70" s="20" t="s">
        <v>73</v>
      </c>
      <c r="D70" s="22" t="s">
        <v>0</v>
      </c>
      <c r="E70" s="14" t="s">
        <v>1</v>
      </c>
      <c r="F70" s="15"/>
      <c r="G70" s="16"/>
      <c r="H70" s="14" t="s">
        <v>2</v>
      </c>
      <c r="I70" s="15"/>
      <c r="J70" s="16"/>
      <c r="K70" s="14" t="s">
        <v>3</v>
      </c>
      <c r="L70" s="15"/>
      <c r="M70" s="16"/>
      <c r="N70" s="14" t="s">
        <v>4</v>
      </c>
      <c r="O70" s="15"/>
      <c r="P70" s="16"/>
      <c r="Q70" s="14" t="s">
        <v>5</v>
      </c>
      <c r="R70" s="15"/>
      <c r="S70" s="16"/>
      <c r="T70" s="14" t="s">
        <v>6</v>
      </c>
      <c r="U70" s="15"/>
      <c r="V70" s="16"/>
      <c r="W70" s="14" t="s">
        <v>7</v>
      </c>
      <c r="X70" s="15"/>
      <c r="Y70" s="16"/>
      <c r="Z70" s="14" t="s">
        <v>8</v>
      </c>
      <c r="AA70" s="15"/>
      <c r="AB70" s="16"/>
      <c r="AC70" s="17" t="s">
        <v>75</v>
      </c>
      <c r="AD70" s="18"/>
      <c r="AE70" s="19"/>
    </row>
    <row r="71" spans="2:31" x14ac:dyDescent="0.5">
      <c r="C71" s="21"/>
      <c r="D71" s="23"/>
      <c r="E71" s="11" t="s">
        <v>9</v>
      </c>
      <c r="F71" s="11" t="s">
        <v>10</v>
      </c>
      <c r="G71" s="11" t="s">
        <v>11</v>
      </c>
      <c r="H71" s="11" t="s">
        <v>9</v>
      </c>
      <c r="I71" s="11" t="s">
        <v>10</v>
      </c>
      <c r="J71" s="11" t="s">
        <v>11</v>
      </c>
      <c r="K71" s="11" t="s">
        <v>9</v>
      </c>
      <c r="L71" s="11" t="s">
        <v>10</v>
      </c>
      <c r="M71" s="11" t="s">
        <v>11</v>
      </c>
      <c r="N71" s="11" t="s">
        <v>9</v>
      </c>
      <c r="O71" s="11" t="s">
        <v>10</v>
      </c>
      <c r="P71" s="11" t="s">
        <v>11</v>
      </c>
      <c r="Q71" s="11" t="s">
        <v>9</v>
      </c>
      <c r="R71" s="11" t="s">
        <v>10</v>
      </c>
      <c r="S71" s="11" t="s">
        <v>11</v>
      </c>
      <c r="T71" s="11" t="s">
        <v>9</v>
      </c>
      <c r="U71" s="11" t="s">
        <v>10</v>
      </c>
      <c r="V71" s="11" t="s">
        <v>11</v>
      </c>
      <c r="W71" s="11" t="s">
        <v>9</v>
      </c>
      <c r="X71" s="11" t="s">
        <v>10</v>
      </c>
      <c r="Y71" s="11" t="s">
        <v>11</v>
      </c>
      <c r="Z71" s="11" t="s">
        <v>9</v>
      </c>
      <c r="AA71" s="11" t="s">
        <v>10</v>
      </c>
      <c r="AB71" s="11" t="s">
        <v>11</v>
      </c>
      <c r="AC71" s="11" t="s">
        <v>12</v>
      </c>
      <c r="AD71" s="11" t="s">
        <v>13</v>
      </c>
      <c r="AE71" s="12" t="s">
        <v>11</v>
      </c>
    </row>
    <row r="72" spans="2:31" x14ac:dyDescent="0.5">
      <c r="C72" s="2" t="s">
        <v>31</v>
      </c>
      <c r="D72" s="3">
        <v>18</v>
      </c>
      <c r="E72" s="4">
        <v>105</v>
      </c>
      <c r="F72" s="4">
        <v>16</v>
      </c>
      <c r="G72" s="4">
        <v>307</v>
      </c>
      <c r="H72" s="4">
        <v>62</v>
      </c>
      <c r="I72" s="4">
        <v>51</v>
      </c>
      <c r="J72" s="4">
        <v>1135</v>
      </c>
      <c r="K72" s="4">
        <v>114</v>
      </c>
      <c r="L72" s="4">
        <v>46</v>
      </c>
      <c r="M72" s="4">
        <v>948</v>
      </c>
      <c r="N72" s="4">
        <v>31</v>
      </c>
      <c r="O72" s="4">
        <v>58</v>
      </c>
      <c r="P72" s="4">
        <v>1295</v>
      </c>
      <c r="Q72" s="4">
        <v>58</v>
      </c>
      <c r="R72" s="4">
        <v>54</v>
      </c>
      <c r="S72" s="4">
        <v>1069</v>
      </c>
      <c r="T72" s="4">
        <v>71</v>
      </c>
      <c r="U72" s="4">
        <v>43</v>
      </c>
      <c r="V72" s="4">
        <v>784</v>
      </c>
      <c r="W72" s="4">
        <v>281</v>
      </c>
      <c r="X72" s="4">
        <v>47</v>
      </c>
      <c r="Y72" s="4">
        <v>956</v>
      </c>
      <c r="Z72" s="4">
        <v>160</v>
      </c>
      <c r="AA72" s="4">
        <v>56</v>
      </c>
      <c r="AB72" s="4">
        <v>1114</v>
      </c>
      <c r="AC72" s="4">
        <v>441</v>
      </c>
      <c r="AD72" s="4">
        <v>55</v>
      </c>
      <c r="AE72" s="4">
        <v>1069</v>
      </c>
    </row>
    <row r="74" spans="2:31" x14ac:dyDescent="0.5">
      <c r="B74" t="s">
        <v>81</v>
      </c>
      <c r="C74" s="20" t="s">
        <v>73</v>
      </c>
      <c r="D74" s="22" t="s">
        <v>0</v>
      </c>
      <c r="E74" s="14" t="s">
        <v>1</v>
      </c>
      <c r="F74" s="15"/>
      <c r="G74" s="16"/>
      <c r="H74" s="14" t="s">
        <v>2</v>
      </c>
      <c r="I74" s="15"/>
      <c r="J74" s="16"/>
      <c r="K74" s="14" t="s">
        <v>3</v>
      </c>
      <c r="L74" s="15"/>
      <c r="M74" s="16"/>
      <c r="N74" s="14" t="s">
        <v>4</v>
      </c>
      <c r="O74" s="15"/>
      <c r="P74" s="16"/>
      <c r="Q74" s="14" t="s">
        <v>5</v>
      </c>
      <c r="R74" s="15"/>
      <c r="S74" s="16"/>
      <c r="T74" s="14" t="s">
        <v>6</v>
      </c>
      <c r="U74" s="15"/>
      <c r="V74" s="16"/>
      <c r="W74" s="14" t="s">
        <v>7</v>
      </c>
      <c r="X74" s="15"/>
      <c r="Y74" s="16"/>
      <c r="Z74" s="14" t="s">
        <v>8</v>
      </c>
      <c r="AA74" s="15"/>
      <c r="AB74" s="16"/>
      <c r="AC74" s="17" t="s">
        <v>75</v>
      </c>
      <c r="AD74" s="18"/>
      <c r="AE74" s="19"/>
    </row>
    <row r="75" spans="2:31" x14ac:dyDescent="0.5">
      <c r="C75" s="21"/>
      <c r="D75" s="23"/>
      <c r="E75" s="11" t="s">
        <v>9</v>
      </c>
      <c r="F75" s="11" t="s">
        <v>10</v>
      </c>
      <c r="G75" s="11" t="s">
        <v>11</v>
      </c>
      <c r="H75" s="11" t="s">
        <v>9</v>
      </c>
      <c r="I75" s="11" t="s">
        <v>10</v>
      </c>
      <c r="J75" s="11" t="s">
        <v>11</v>
      </c>
      <c r="K75" s="11" t="s">
        <v>9</v>
      </c>
      <c r="L75" s="11" t="s">
        <v>10</v>
      </c>
      <c r="M75" s="11" t="s">
        <v>11</v>
      </c>
      <c r="N75" s="11" t="s">
        <v>9</v>
      </c>
      <c r="O75" s="11" t="s">
        <v>10</v>
      </c>
      <c r="P75" s="11" t="s">
        <v>11</v>
      </c>
      <c r="Q75" s="11" t="s">
        <v>9</v>
      </c>
      <c r="R75" s="11" t="s">
        <v>10</v>
      </c>
      <c r="S75" s="11" t="s">
        <v>11</v>
      </c>
      <c r="T75" s="11" t="s">
        <v>9</v>
      </c>
      <c r="U75" s="11" t="s">
        <v>10</v>
      </c>
      <c r="V75" s="11" t="s">
        <v>11</v>
      </c>
      <c r="W75" s="11" t="s">
        <v>9</v>
      </c>
      <c r="X75" s="11" t="s">
        <v>10</v>
      </c>
      <c r="Y75" s="11" t="s">
        <v>11</v>
      </c>
      <c r="Z75" s="11" t="s">
        <v>9</v>
      </c>
      <c r="AA75" s="11" t="s">
        <v>10</v>
      </c>
      <c r="AB75" s="11" t="s">
        <v>11</v>
      </c>
      <c r="AC75" s="11" t="s">
        <v>12</v>
      </c>
      <c r="AD75" s="11" t="s">
        <v>13</v>
      </c>
      <c r="AE75" s="12" t="s">
        <v>11</v>
      </c>
    </row>
    <row r="76" spans="2:31" x14ac:dyDescent="0.5">
      <c r="C76" s="2" t="s">
        <v>32</v>
      </c>
      <c r="D76" s="3">
        <v>19</v>
      </c>
      <c r="E76" s="4">
        <v>93</v>
      </c>
      <c r="F76" s="4">
        <v>39</v>
      </c>
      <c r="G76" s="4">
        <v>824</v>
      </c>
      <c r="H76" s="4">
        <v>92</v>
      </c>
      <c r="I76" s="4">
        <v>27</v>
      </c>
      <c r="J76" s="4">
        <v>553</v>
      </c>
      <c r="K76" s="4">
        <v>113</v>
      </c>
      <c r="L76" s="4">
        <v>48</v>
      </c>
      <c r="M76" s="4">
        <v>970</v>
      </c>
      <c r="N76" s="4">
        <v>71</v>
      </c>
      <c r="O76" s="4">
        <v>25</v>
      </c>
      <c r="P76" s="4">
        <v>451</v>
      </c>
      <c r="Q76" s="4">
        <v>71</v>
      </c>
      <c r="R76" s="4">
        <v>39</v>
      </c>
      <c r="S76" s="4">
        <v>726</v>
      </c>
      <c r="T76" s="4">
        <v>71</v>
      </c>
      <c r="U76" s="4">
        <v>43</v>
      </c>
      <c r="V76" s="4">
        <v>784</v>
      </c>
      <c r="W76" s="4">
        <v>298</v>
      </c>
      <c r="X76" s="4">
        <v>37</v>
      </c>
      <c r="Y76" s="4">
        <v>752</v>
      </c>
      <c r="Z76" s="4">
        <v>213</v>
      </c>
      <c r="AA76" s="4">
        <v>32</v>
      </c>
      <c r="AB76" s="4">
        <v>599</v>
      </c>
      <c r="AC76" s="4">
        <v>511</v>
      </c>
      <c r="AD76" s="4">
        <v>37</v>
      </c>
      <c r="AE76" s="4">
        <v>661</v>
      </c>
    </row>
    <row r="78" spans="2:31" x14ac:dyDescent="0.5">
      <c r="B78" t="s">
        <v>81</v>
      </c>
      <c r="C78" s="20" t="s">
        <v>73</v>
      </c>
      <c r="D78" s="22" t="s">
        <v>0</v>
      </c>
      <c r="E78" s="14" t="s">
        <v>1</v>
      </c>
      <c r="F78" s="15"/>
      <c r="G78" s="16"/>
      <c r="H78" s="14" t="s">
        <v>2</v>
      </c>
      <c r="I78" s="15"/>
      <c r="J78" s="16"/>
      <c r="K78" s="14" t="s">
        <v>3</v>
      </c>
      <c r="L78" s="15"/>
      <c r="M78" s="16"/>
      <c r="N78" s="14" t="s">
        <v>4</v>
      </c>
      <c r="O78" s="15"/>
      <c r="P78" s="16"/>
      <c r="Q78" s="14" t="s">
        <v>5</v>
      </c>
      <c r="R78" s="15"/>
      <c r="S78" s="16"/>
      <c r="T78" s="14" t="s">
        <v>6</v>
      </c>
      <c r="U78" s="15"/>
      <c r="V78" s="16"/>
      <c r="W78" s="14" t="s">
        <v>7</v>
      </c>
      <c r="X78" s="15"/>
      <c r="Y78" s="16"/>
      <c r="Z78" s="14" t="s">
        <v>8</v>
      </c>
      <c r="AA78" s="15"/>
      <c r="AB78" s="16"/>
      <c r="AC78" s="17" t="s">
        <v>75</v>
      </c>
      <c r="AD78" s="18"/>
      <c r="AE78" s="19"/>
    </row>
    <row r="79" spans="2:31" x14ac:dyDescent="0.5">
      <c r="C79" s="21"/>
      <c r="D79" s="23"/>
      <c r="E79" s="11" t="s">
        <v>9</v>
      </c>
      <c r="F79" s="11" t="s">
        <v>10</v>
      </c>
      <c r="G79" s="11" t="s">
        <v>11</v>
      </c>
      <c r="H79" s="11" t="s">
        <v>9</v>
      </c>
      <c r="I79" s="11" t="s">
        <v>10</v>
      </c>
      <c r="J79" s="11" t="s">
        <v>11</v>
      </c>
      <c r="K79" s="11" t="s">
        <v>9</v>
      </c>
      <c r="L79" s="11" t="s">
        <v>10</v>
      </c>
      <c r="M79" s="11" t="s">
        <v>11</v>
      </c>
      <c r="N79" s="11" t="s">
        <v>9</v>
      </c>
      <c r="O79" s="11" t="s">
        <v>10</v>
      </c>
      <c r="P79" s="11" t="s">
        <v>11</v>
      </c>
      <c r="Q79" s="11" t="s">
        <v>9</v>
      </c>
      <c r="R79" s="11" t="s">
        <v>10</v>
      </c>
      <c r="S79" s="11" t="s">
        <v>11</v>
      </c>
      <c r="T79" s="11" t="s">
        <v>9</v>
      </c>
      <c r="U79" s="11" t="s">
        <v>10</v>
      </c>
      <c r="V79" s="11" t="s">
        <v>11</v>
      </c>
      <c r="W79" s="11" t="s">
        <v>9</v>
      </c>
      <c r="X79" s="11" t="s">
        <v>10</v>
      </c>
      <c r="Y79" s="11" t="s">
        <v>11</v>
      </c>
      <c r="Z79" s="11" t="s">
        <v>9</v>
      </c>
      <c r="AA79" s="11" t="s">
        <v>10</v>
      </c>
      <c r="AB79" s="11" t="s">
        <v>11</v>
      </c>
      <c r="AC79" s="11" t="s">
        <v>12</v>
      </c>
      <c r="AD79" s="11" t="s">
        <v>13</v>
      </c>
      <c r="AE79" s="12" t="s">
        <v>11</v>
      </c>
    </row>
    <row r="80" spans="2:31" x14ac:dyDescent="0.5">
      <c r="C80" s="2" t="s">
        <v>33</v>
      </c>
      <c r="D80" s="3">
        <v>20</v>
      </c>
      <c r="E80" s="4">
        <v>96</v>
      </c>
      <c r="F80" s="4">
        <v>33</v>
      </c>
      <c r="G80" s="4">
        <v>696</v>
      </c>
      <c r="H80" s="4">
        <v>89</v>
      </c>
      <c r="I80" s="4">
        <v>30</v>
      </c>
      <c r="J80" s="4">
        <v>619</v>
      </c>
      <c r="K80" s="4">
        <v>129.5</v>
      </c>
      <c r="L80" s="4">
        <v>18</v>
      </c>
      <c r="M80" s="4">
        <v>401</v>
      </c>
      <c r="N80" s="4">
        <v>60</v>
      </c>
      <c r="O80" s="4">
        <v>32</v>
      </c>
      <c r="P80" s="4">
        <v>683</v>
      </c>
      <c r="Q80" s="4">
        <v>80</v>
      </c>
      <c r="R80" s="4">
        <v>25</v>
      </c>
      <c r="S80" s="4">
        <v>411</v>
      </c>
      <c r="T80" s="4">
        <v>86</v>
      </c>
      <c r="U80" s="4">
        <v>18</v>
      </c>
      <c r="V80" s="4">
        <v>301</v>
      </c>
      <c r="W80" s="4">
        <v>314.5</v>
      </c>
      <c r="X80" s="4">
        <v>30</v>
      </c>
      <c r="Y80" s="4">
        <v>536</v>
      </c>
      <c r="Z80" s="4">
        <v>226</v>
      </c>
      <c r="AA80" s="4">
        <v>25</v>
      </c>
      <c r="AB80" s="4">
        <v>479</v>
      </c>
      <c r="AC80" s="4">
        <v>540.5</v>
      </c>
      <c r="AD80" s="4">
        <v>28</v>
      </c>
      <c r="AE80" s="4">
        <v>494</v>
      </c>
    </row>
    <row r="82" spans="2:31" x14ac:dyDescent="0.5">
      <c r="B82" t="s">
        <v>81</v>
      </c>
      <c r="C82" s="20" t="s">
        <v>73</v>
      </c>
      <c r="D82" s="22" t="s">
        <v>0</v>
      </c>
      <c r="E82" s="14" t="s">
        <v>1</v>
      </c>
      <c r="F82" s="15"/>
      <c r="G82" s="16"/>
      <c r="H82" s="14" t="s">
        <v>2</v>
      </c>
      <c r="I82" s="15"/>
      <c r="J82" s="16"/>
      <c r="K82" s="14" t="s">
        <v>3</v>
      </c>
      <c r="L82" s="15"/>
      <c r="M82" s="16"/>
      <c r="N82" s="14" t="s">
        <v>4</v>
      </c>
      <c r="O82" s="15"/>
      <c r="P82" s="16"/>
      <c r="Q82" s="14" t="s">
        <v>5</v>
      </c>
      <c r="R82" s="15"/>
      <c r="S82" s="16"/>
      <c r="T82" s="14" t="s">
        <v>6</v>
      </c>
      <c r="U82" s="15"/>
      <c r="V82" s="16"/>
      <c r="W82" s="14" t="s">
        <v>7</v>
      </c>
      <c r="X82" s="15"/>
      <c r="Y82" s="16"/>
      <c r="Z82" s="14" t="s">
        <v>8</v>
      </c>
      <c r="AA82" s="15"/>
      <c r="AB82" s="16"/>
      <c r="AC82" s="17" t="s">
        <v>75</v>
      </c>
      <c r="AD82" s="18"/>
      <c r="AE82" s="19"/>
    </row>
    <row r="83" spans="2:31" x14ac:dyDescent="0.5">
      <c r="C83" s="21"/>
      <c r="D83" s="23"/>
      <c r="E83" s="11" t="s">
        <v>9</v>
      </c>
      <c r="F83" s="11" t="s">
        <v>10</v>
      </c>
      <c r="G83" s="11" t="s">
        <v>11</v>
      </c>
      <c r="H83" s="11" t="s">
        <v>9</v>
      </c>
      <c r="I83" s="11" t="s">
        <v>10</v>
      </c>
      <c r="J83" s="11" t="s">
        <v>11</v>
      </c>
      <c r="K83" s="11" t="s">
        <v>9</v>
      </c>
      <c r="L83" s="11" t="s">
        <v>10</v>
      </c>
      <c r="M83" s="11" t="s">
        <v>11</v>
      </c>
      <c r="N83" s="11" t="s">
        <v>9</v>
      </c>
      <c r="O83" s="11" t="s">
        <v>10</v>
      </c>
      <c r="P83" s="11" t="s">
        <v>11</v>
      </c>
      <c r="Q83" s="11" t="s">
        <v>9</v>
      </c>
      <c r="R83" s="11" t="s">
        <v>10</v>
      </c>
      <c r="S83" s="11" t="s">
        <v>11</v>
      </c>
      <c r="T83" s="11" t="s">
        <v>9</v>
      </c>
      <c r="U83" s="11" t="s">
        <v>10</v>
      </c>
      <c r="V83" s="11" t="s">
        <v>11</v>
      </c>
      <c r="W83" s="11" t="s">
        <v>9</v>
      </c>
      <c r="X83" s="11" t="s">
        <v>10</v>
      </c>
      <c r="Y83" s="11" t="s">
        <v>11</v>
      </c>
      <c r="Z83" s="11" t="s">
        <v>9</v>
      </c>
      <c r="AA83" s="11" t="s">
        <v>10</v>
      </c>
      <c r="AB83" s="11" t="s">
        <v>11</v>
      </c>
      <c r="AC83" s="11" t="s">
        <v>12</v>
      </c>
      <c r="AD83" s="11" t="s">
        <v>13</v>
      </c>
      <c r="AE83" s="12" t="s">
        <v>11</v>
      </c>
    </row>
    <row r="84" spans="2:31" x14ac:dyDescent="0.5">
      <c r="C84" s="2" t="s">
        <v>34</v>
      </c>
      <c r="D84" s="3">
        <v>21</v>
      </c>
      <c r="E84" s="4">
        <v>72</v>
      </c>
      <c r="F84" s="4">
        <v>58</v>
      </c>
      <c r="G84" s="4">
        <v>1373</v>
      </c>
      <c r="H84" s="4">
        <v>53</v>
      </c>
      <c r="I84" s="4">
        <v>56</v>
      </c>
      <c r="J84" s="4">
        <v>1280</v>
      </c>
      <c r="K84" s="4">
        <v>87.5</v>
      </c>
      <c r="L84" s="4">
        <v>59</v>
      </c>
      <c r="M84" s="4">
        <v>1356</v>
      </c>
      <c r="N84" s="4">
        <v>67</v>
      </c>
      <c r="O84" s="4">
        <v>26</v>
      </c>
      <c r="P84" s="4">
        <v>527</v>
      </c>
      <c r="Q84" s="4">
        <v>48</v>
      </c>
      <c r="R84" s="4">
        <v>59</v>
      </c>
      <c r="S84" s="4">
        <v>1250</v>
      </c>
      <c r="T84" s="4">
        <v>55</v>
      </c>
      <c r="U84" s="4">
        <v>57</v>
      </c>
      <c r="V84" s="4">
        <v>1179</v>
      </c>
      <c r="W84" s="4">
        <v>212.5</v>
      </c>
      <c r="X84" s="4">
        <v>59</v>
      </c>
      <c r="Y84" s="4">
        <v>1392</v>
      </c>
      <c r="Z84" s="4">
        <v>170</v>
      </c>
      <c r="AA84" s="4">
        <v>52</v>
      </c>
      <c r="AB84" s="4">
        <v>1038</v>
      </c>
      <c r="AC84" s="4">
        <v>382.5</v>
      </c>
      <c r="AD84" s="4">
        <v>59</v>
      </c>
      <c r="AE84" s="4">
        <v>1290</v>
      </c>
    </row>
    <row r="86" spans="2:31" x14ac:dyDescent="0.5">
      <c r="B86" t="s">
        <v>81</v>
      </c>
      <c r="C86" s="20" t="s">
        <v>73</v>
      </c>
      <c r="D86" s="22" t="s">
        <v>0</v>
      </c>
      <c r="E86" s="14" t="s">
        <v>1</v>
      </c>
      <c r="F86" s="15"/>
      <c r="G86" s="16"/>
      <c r="H86" s="14" t="s">
        <v>2</v>
      </c>
      <c r="I86" s="15"/>
      <c r="J86" s="16"/>
      <c r="K86" s="14" t="s">
        <v>3</v>
      </c>
      <c r="L86" s="15"/>
      <c r="M86" s="16"/>
      <c r="N86" s="14" t="s">
        <v>4</v>
      </c>
      <c r="O86" s="15"/>
      <c r="P86" s="16"/>
      <c r="Q86" s="14" t="s">
        <v>5</v>
      </c>
      <c r="R86" s="15"/>
      <c r="S86" s="16"/>
      <c r="T86" s="14" t="s">
        <v>6</v>
      </c>
      <c r="U86" s="15"/>
      <c r="V86" s="16"/>
      <c r="W86" s="14" t="s">
        <v>7</v>
      </c>
      <c r="X86" s="15"/>
      <c r="Y86" s="16"/>
      <c r="Z86" s="14" t="s">
        <v>8</v>
      </c>
      <c r="AA86" s="15"/>
      <c r="AB86" s="16"/>
      <c r="AC86" s="17" t="s">
        <v>75</v>
      </c>
      <c r="AD86" s="18"/>
      <c r="AE86" s="19"/>
    </row>
    <row r="87" spans="2:31" x14ac:dyDescent="0.5">
      <c r="C87" s="21"/>
      <c r="D87" s="23"/>
      <c r="E87" s="11" t="s">
        <v>9</v>
      </c>
      <c r="F87" s="11" t="s">
        <v>10</v>
      </c>
      <c r="G87" s="11" t="s">
        <v>11</v>
      </c>
      <c r="H87" s="11" t="s">
        <v>9</v>
      </c>
      <c r="I87" s="11" t="s">
        <v>10</v>
      </c>
      <c r="J87" s="11" t="s">
        <v>11</v>
      </c>
      <c r="K87" s="11" t="s">
        <v>9</v>
      </c>
      <c r="L87" s="11" t="s">
        <v>10</v>
      </c>
      <c r="M87" s="11" t="s">
        <v>11</v>
      </c>
      <c r="N87" s="11" t="s">
        <v>9</v>
      </c>
      <c r="O87" s="11" t="s">
        <v>10</v>
      </c>
      <c r="P87" s="11" t="s">
        <v>11</v>
      </c>
      <c r="Q87" s="11" t="s">
        <v>9</v>
      </c>
      <c r="R87" s="11" t="s">
        <v>10</v>
      </c>
      <c r="S87" s="11" t="s">
        <v>11</v>
      </c>
      <c r="T87" s="11" t="s">
        <v>9</v>
      </c>
      <c r="U87" s="11" t="s">
        <v>10</v>
      </c>
      <c r="V87" s="11" t="s">
        <v>11</v>
      </c>
      <c r="W87" s="11" t="s">
        <v>9</v>
      </c>
      <c r="X87" s="11" t="s">
        <v>10</v>
      </c>
      <c r="Y87" s="11" t="s">
        <v>11</v>
      </c>
      <c r="Z87" s="11" t="s">
        <v>9</v>
      </c>
      <c r="AA87" s="11" t="s">
        <v>10</v>
      </c>
      <c r="AB87" s="11" t="s">
        <v>11</v>
      </c>
      <c r="AC87" s="11" t="s">
        <v>12</v>
      </c>
      <c r="AD87" s="11" t="s">
        <v>13</v>
      </c>
      <c r="AE87" s="12" t="s">
        <v>11</v>
      </c>
    </row>
    <row r="88" spans="2:31" x14ac:dyDescent="0.5">
      <c r="C88" s="2" t="s">
        <v>35</v>
      </c>
      <c r="D88" s="3">
        <v>22</v>
      </c>
      <c r="E88" s="4">
        <v>75</v>
      </c>
      <c r="F88" s="4">
        <v>55</v>
      </c>
      <c r="G88" s="4">
        <v>1345</v>
      </c>
      <c r="H88" s="4">
        <v>57</v>
      </c>
      <c r="I88" s="4">
        <v>53</v>
      </c>
      <c r="J88" s="4">
        <v>1213</v>
      </c>
      <c r="K88" s="4">
        <v>109.5</v>
      </c>
      <c r="L88" s="4">
        <v>52</v>
      </c>
      <c r="M88" s="4">
        <v>1080</v>
      </c>
      <c r="N88" s="4">
        <v>36</v>
      </c>
      <c r="O88" s="4">
        <v>55</v>
      </c>
      <c r="P88" s="4">
        <v>1206</v>
      </c>
      <c r="Q88" s="4">
        <v>56</v>
      </c>
      <c r="R88" s="4">
        <v>56</v>
      </c>
      <c r="S88" s="4">
        <v>1107</v>
      </c>
      <c r="T88" s="4">
        <v>70</v>
      </c>
      <c r="U88" s="4">
        <v>47</v>
      </c>
      <c r="V88" s="4">
        <v>815</v>
      </c>
      <c r="W88" s="4">
        <v>241.5</v>
      </c>
      <c r="X88" s="4">
        <v>57</v>
      </c>
      <c r="Y88" s="4">
        <v>1289</v>
      </c>
      <c r="Z88" s="4">
        <v>162</v>
      </c>
      <c r="AA88" s="4">
        <v>55</v>
      </c>
      <c r="AB88" s="4">
        <v>1098</v>
      </c>
      <c r="AC88" s="4">
        <v>403.5</v>
      </c>
      <c r="AD88" s="4">
        <v>57</v>
      </c>
      <c r="AE88" s="4">
        <v>1207</v>
      </c>
    </row>
    <row r="90" spans="2:31" x14ac:dyDescent="0.5">
      <c r="B90" t="s">
        <v>81</v>
      </c>
      <c r="C90" s="20" t="s">
        <v>73</v>
      </c>
      <c r="D90" s="22" t="s">
        <v>0</v>
      </c>
      <c r="E90" s="14" t="s">
        <v>1</v>
      </c>
      <c r="F90" s="15"/>
      <c r="G90" s="16"/>
      <c r="H90" s="14" t="s">
        <v>2</v>
      </c>
      <c r="I90" s="15"/>
      <c r="J90" s="16"/>
      <c r="K90" s="14" t="s">
        <v>3</v>
      </c>
      <c r="L90" s="15"/>
      <c r="M90" s="16"/>
      <c r="N90" s="14" t="s">
        <v>4</v>
      </c>
      <c r="O90" s="15"/>
      <c r="P90" s="16"/>
      <c r="Q90" s="14" t="s">
        <v>5</v>
      </c>
      <c r="R90" s="15"/>
      <c r="S90" s="16"/>
      <c r="T90" s="14" t="s">
        <v>6</v>
      </c>
      <c r="U90" s="15"/>
      <c r="V90" s="16"/>
      <c r="W90" s="14" t="s">
        <v>7</v>
      </c>
      <c r="X90" s="15"/>
      <c r="Y90" s="16"/>
      <c r="Z90" s="14" t="s">
        <v>8</v>
      </c>
      <c r="AA90" s="15"/>
      <c r="AB90" s="16"/>
      <c r="AC90" s="17" t="s">
        <v>75</v>
      </c>
      <c r="AD90" s="18"/>
      <c r="AE90" s="19"/>
    </row>
    <row r="91" spans="2:31" x14ac:dyDescent="0.5">
      <c r="C91" s="21"/>
      <c r="D91" s="23"/>
      <c r="E91" s="11" t="s">
        <v>9</v>
      </c>
      <c r="F91" s="11" t="s">
        <v>10</v>
      </c>
      <c r="G91" s="11" t="s">
        <v>11</v>
      </c>
      <c r="H91" s="11" t="s">
        <v>9</v>
      </c>
      <c r="I91" s="11" t="s">
        <v>10</v>
      </c>
      <c r="J91" s="11" t="s">
        <v>11</v>
      </c>
      <c r="K91" s="11" t="s">
        <v>9</v>
      </c>
      <c r="L91" s="11" t="s">
        <v>10</v>
      </c>
      <c r="M91" s="11" t="s">
        <v>11</v>
      </c>
      <c r="N91" s="11" t="s">
        <v>9</v>
      </c>
      <c r="O91" s="11" t="s">
        <v>10</v>
      </c>
      <c r="P91" s="11" t="s">
        <v>11</v>
      </c>
      <c r="Q91" s="11" t="s">
        <v>9</v>
      </c>
      <c r="R91" s="11" t="s">
        <v>10</v>
      </c>
      <c r="S91" s="11" t="s">
        <v>11</v>
      </c>
      <c r="T91" s="11" t="s">
        <v>9</v>
      </c>
      <c r="U91" s="11" t="s">
        <v>10</v>
      </c>
      <c r="V91" s="11" t="s">
        <v>11</v>
      </c>
      <c r="W91" s="11" t="s">
        <v>9</v>
      </c>
      <c r="X91" s="11" t="s">
        <v>10</v>
      </c>
      <c r="Y91" s="11" t="s">
        <v>11</v>
      </c>
      <c r="Z91" s="11" t="s">
        <v>9</v>
      </c>
      <c r="AA91" s="11" t="s">
        <v>10</v>
      </c>
      <c r="AB91" s="11" t="s">
        <v>11</v>
      </c>
      <c r="AC91" s="11" t="s">
        <v>12</v>
      </c>
      <c r="AD91" s="11" t="s">
        <v>13</v>
      </c>
      <c r="AE91" s="12" t="s">
        <v>11</v>
      </c>
    </row>
    <row r="92" spans="2:31" x14ac:dyDescent="0.5">
      <c r="C92" s="2" t="s">
        <v>36</v>
      </c>
      <c r="D92" s="3">
        <v>23</v>
      </c>
      <c r="E92" s="4">
        <v>91</v>
      </c>
      <c r="F92" s="4">
        <v>43</v>
      </c>
      <c r="G92" s="4">
        <v>914</v>
      </c>
      <c r="H92" s="4">
        <v>103</v>
      </c>
      <c r="I92" s="4">
        <v>17</v>
      </c>
      <c r="J92" s="4">
        <v>331</v>
      </c>
      <c r="K92" s="4">
        <v>130</v>
      </c>
      <c r="L92" s="4">
        <v>15</v>
      </c>
      <c r="M92" s="4">
        <v>378</v>
      </c>
      <c r="N92" s="4">
        <v>75</v>
      </c>
      <c r="O92" s="4">
        <v>19</v>
      </c>
      <c r="P92" s="4">
        <v>353</v>
      </c>
      <c r="Q92" s="4">
        <v>90</v>
      </c>
      <c r="R92" s="4">
        <v>6</v>
      </c>
      <c r="S92" s="4">
        <v>98</v>
      </c>
      <c r="T92" s="4">
        <v>90</v>
      </c>
      <c r="U92" s="4">
        <v>11</v>
      </c>
      <c r="V92" s="4">
        <v>161</v>
      </c>
      <c r="W92" s="4">
        <v>324</v>
      </c>
      <c r="X92" s="4">
        <v>25</v>
      </c>
      <c r="Y92" s="4">
        <v>430</v>
      </c>
      <c r="Z92" s="4">
        <v>255</v>
      </c>
      <c r="AA92" s="4">
        <v>15</v>
      </c>
      <c r="AB92" s="4">
        <v>214</v>
      </c>
      <c r="AC92" s="4">
        <v>579</v>
      </c>
      <c r="AD92" s="4">
        <v>17</v>
      </c>
      <c r="AE92" s="4">
        <v>285</v>
      </c>
    </row>
    <row r="94" spans="2:31" x14ac:dyDescent="0.5">
      <c r="B94" t="s">
        <v>81</v>
      </c>
      <c r="C94" s="20" t="s">
        <v>73</v>
      </c>
      <c r="D94" s="22" t="s">
        <v>0</v>
      </c>
      <c r="E94" s="14" t="s">
        <v>1</v>
      </c>
      <c r="F94" s="15"/>
      <c r="G94" s="16"/>
      <c r="H94" s="14" t="s">
        <v>2</v>
      </c>
      <c r="I94" s="15"/>
      <c r="J94" s="16"/>
      <c r="K94" s="14" t="s">
        <v>3</v>
      </c>
      <c r="L94" s="15"/>
      <c r="M94" s="16"/>
      <c r="N94" s="14" t="s">
        <v>4</v>
      </c>
      <c r="O94" s="15"/>
      <c r="P94" s="16"/>
      <c r="Q94" s="14" t="s">
        <v>5</v>
      </c>
      <c r="R94" s="15"/>
      <c r="S94" s="16"/>
      <c r="T94" s="14" t="s">
        <v>6</v>
      </c>
      <c r="U94" s="15"/>
      <c r="V94" s="16"/>
      <c r="W94" s="14" t="s">
        <v>7</v>
      </c>
      <c r="X94" s="15"/>
      <c r="Y94" s="16"/>
      <c r="Z94" s="14" t="s">
        <v>8</v>
      </c>
      <c r="AA94" s="15"/>
      <c r="AB94" s="16"/>
      <c r="AC94" s="17" t="s">
        <v>75</v>
      </c>
      <c r="AD94" s="18"/>
      <c r="AE94" s="19"/>
    </row>
    <row r="95" spans="2:31" x14ac:dyDescent="0.5">
      <c r="C95" s="21"/>
      <c r="D95" s="23"/>
      <c r="E95" s="11" t="s">
        <v>9</v>
      </c>
      <c r="F95" s="11" t="s">
        <v>10</v>
      </c>
      <c r="G95" s="11" t="s">
        <v>11</v>
      </c>
      <c r="H95" s="11" t="s">
        <v>9</v>
      </c>
      <c r="I95" s="11" t="s">
        <v>10</v>
      </c>
      <c r="J95" s="11" t="s">
        <v>11</v>
      </c>
      <c r="K95" s="11" t="s">
        <v>9</v>
      </c>
      <c r="L95" s="11" t="s">
        <v>10</v>
      </c>
      <c r="M95" s="11" t="s">
        <v>11</v>
      </c>
      <c r="N95" s="11" t="s">
        <v>9</v>
      </c>
      <c r="O95" s="11" t="s">
        <v>10</v>
      </c>
      <c r="P95" s="11" t="s">
        <v>11</v>
      </c>
      <c r="Q95" s="11" t="s">
        <v>9</v>
      </c>
      <c r="R95" s="11" t="s">
        <v>10</v>
      </c>
      <c r="S95" s="11" t="s">
        <v>11</v>
      </c>
      <c r="T95" s="11" t="s">
        <v>9</v>
      </c>
      <c r="U95" s="11" t="s">
        <v>10</v>
      </c>
      <c r="V95" s="11" t="s">
        <v>11</v>
      </c>
      <c r="W95" s="11" t="s">
        <v>9</v>
      </c>
      <c r="X95" s="11" t="s">
        <v>10</v>
      </c>
      <c r="Y95" s="11" t="s">
        <v>11</v>
      </c>
      <c r="Z95" s="11" t="s">
        <v>9</v>
      </c>
      <c r="AA95" s="11" t="s">
        <v>10</v>
      </c>
      <c r="AB95" s="11" t="s">
        <v>11</v>
      </c>
      <c r="AC95" s="11" t="s">
        <v>12</v>
      </c>
      <c r="AD95" s="11" t="s">
        <v>13</v>
      </c>
      <c r="AE95" s="12" t="s">
        <v>11</v>
      </c>
    </row>
    <row r="96" spans="2:31" x14ac:dyDescent="0.5">
      <c r="C96" s="2" t="s">
        <v>37</v>
      </c>
      <c r="D96" s="3">
        <v>24</v>
      </c>
      <c r="E96" s="4">
        <v>85</v>
      </c>
      <c r="F96" s="4">
        <v>49</v>
      </c>
      <c r="G96" s="4">
        <v>1148</v>
      </c>
      <c r="H96" s="4">
        <v>77</v>
      </c>
      <c r="I96" s="4">
        <v>44</v>
      </c>
      <c r="J96" s="4">
        <v>854</v>
      </c>
      <c r="K96" s="4">
        <v>130.5</v>
      </c>
      <c r="L96" s="4">
        <v>14</v>
      </c>
      <c r="M96" s="4">
        <v>363</v>
      </c>
      <c r="N96" s="4">
        <v>39</v>
      </c>
      <c r="O96" s="4">
        <v>53</v>
      </c>
      <c r="P96" s="4">
        <v>1136</v>
      </c>
      <c r="Q96" s="4">
        <v>64</v>
      </c>
      <c r="R96" s="4">
        <v>48</v>
      </c>
      <c r="S96" s="4">
        <v>928</v>
      </c>
      <c r="T96" s="4">
        <v>80</v>
      </c>
      <c r="U96" s="4">
        <v>33</v>
      </c>
      <c r="V96" s="4">
        <v>497</v>
      </c>
      <c r="W96" s="4">
        <v>292.5</v>
      </c>
      <c r="X96" s="4">
        <v>40</v>
      </c>
      <c r="Y96" s="4">
        <v>821</v>
      </c>
      <c r="Z96" s="4">
        <v>183</v>
      </c>
      <c r="AA96" s="4">
        <v>47</v>
      </c>
      <c r="AB96" s="4">
        <v>907</v>
      </c>
      <c r="AC96" s="4">
        <v>475.5</v>
      </c>
      <c r="AD96" s="4">
        <v>45</v>
      </c>
      <c r="AE96" s="4">
        <v>878</v>
      </c>
    </row>
    <row r="98" spans="2:31" x14ac:dyDescent="0.5">
      <c r="B98" t="s">
        <v>81</v>
      </c>
      <c r="C98" s="20" t="s">
        <v>73</v>
      </c>
      <c r="D98" s="22" t="s">
        <v>0</v>
      </c>
      <c r="E98" s="14" t="s">
        <v>1</v>
      </c>
      <c r="F98" s="15"/>
      <c r="G98" s="16"/>
      <c r="H98" s="14" t="s">
        <v>2</v>
      </c>
      <c r="I98" s="15"/>
      <c r="J98" s="16"/>
      <c r="K98" s="14" t="s">
        <v>3</v>
      </c>
      <c r="L98" s="15"/>
      <c r="M98" s="16"/>
      <c r="N98" s="14" t="s">
        <v>4</v>
      </c>
      <c r="O98" s="15"/>
      <c r="P98" s="16"/>
      <c r="Q98" s="14" t="s">
        <v>5</v>
      </c>
      <c r="R98" s="15"/>
      <c r="S98" s="16"/>
      <c r="T98" s="14" t="s">
        <v>6</v>
      </c>
      <c r="U98" s="15"/>
      <c r="V98" s="16"/>
      <c r="W98" s="14" t="s">
        <v>7</v>
      </c>
      <c r="X98" s="15"/>
      <c r="Y98" s="16"/>
      <c r="Z98" s="14" t="s">
        <v>8</v>
      </c>
      <c r="AA98" s="15"/>
      <c r="AB98" s="16"/>
      <c r="AC98" s="17" t="s">
        <v>75</v>
      </c>
      <c r="AD98" s="18"/>
      <c r="AE98" s="19"/>
    </row>
    <row r="99" spans="2:31" x14ac:dyDescent="0.5">
      <c r="C99" s="21"/>
      <c r="D99" s="23"/>
      <c r="E99" s="11" t="s">
        <v>9</v>
      </c>
      <c r="F99" s="11" t="s">
        <v>10</v>
      </c>
      <c r="G99" s="11" t="s">
        <v>11</v>
      </c>
      <c r="H99" s="11" t="s">
        <v>9</v>
      </c>
      <c r="I99" s="11" t="s">
        <v>10</v>
      </c>
      <c r="J99" s="11" t="s">
        <v>11</v>
      </c>
      <c r="K99" s="11" t="s">
        <v>9</v>
      </c>
      <c r="L99" s="11" t="s">
        <v>10</v>
      </c>
      <c r="M99" s="11" t="s">
        <v>11</v>
      </c>
      <c r="N99" s="11" t="s">
        <v>9</v>
      </c>
      <c r="O99" s="11" t="s">
        <v>10</v>
      </c>
      <c r="P99" s="11" t="s">
        <v>11</v>
      </c>
      <c r="Q99" s="11" t="s">
        <v>9</v>
      </c>
      <c r="R99" s="11" t="s">
        <v>10</v>
      </c>
      <c r="S99" s="11" t="s">
        <v>11</v>
      </c>
      <c r="T99" s="11" t="s">
        <v>9</v>
      </c>
      <c r="U99" s="11" t="s">
        <v>10</v>
      </c>
      <c r="V99" s="11" t="s">
        <v>11</v>
      </c>
      <c r="W99" s="11" t="s">
        <v>9</v>
      </c>
      <c r="X99" s="11" t="s">
        <v>10</v>
      </c>
      <c r="Y99" s="11" t="s">
        <v>11</v>
      </c>
      <c r="Z99" s="11" t="s">
        <v>9</v>
      </c>
      <c r="AA99" s="11" t="s">
        <v>10</v>
      </c>
      <c r="AB99" s="11" t="s">
        <v>11</v>
      </c>
      <c r="AC99" s="11" t="s">
        <v>12</v>
      </c>
      <c r="AD99" s="11" t="s">
        <v>13</v>
      </c>
      <c r="AE99" s="12" t="s">
        <v>11</v>
      </c>
    </row>
    <row r="100" spans="2:31" x14ac:dyDescent="0.5">
      <c r="C100" s="2" t="s">
        <v>38</v>
      </c>
      <c r="D100" s="3">
        <v>25</v>
      </c>
      <c r="E100" s="4">
        <v>91</v>
      </c>
      <c r="F100" s="4">
        <v>43</v>
      </c>
      <c r="G100" s="4">
        <v>914</v>
      </c>
      <c r="H100" s="4">
        <v>123</v>
      </c>
      <c r="I100" s="4">
        <v>4</v>
      </c>
      <c r="J100" s="4">
        <v>81</v>
      </c>
      <c r="K100" s="4">
        <v>128.5</v>
      </c>
      <c r="L100" s="4">
        <v>21</v>
      </c>
      <c r="M100" s="4">
        <v>441</v>
      </c>
      <c r="N100" s="4">
        <v>98</v>
      </c>
      <c r="O100" s="4">
        <v>5</v>
      </c>
      <c r="P100" s="4">
        <v>53</v>
      </c>
      <c r="Q100" s="4">
        <v>80</v>
      </c>
      <c r="R100" s="4">
        <v>25</v>
      </c>
      <c r="S100" s="4">
        <v>411</v>
      </c>
      <c r="T100" s="4">
        <v>87</v>
      </c>
      <c r="U100" s="4">
        <v>16</v>
      </c>
      <c r="V100" s="4">
        <v>268</v>
      </c>
      <c r="W100" s="4">
        <v>342.5</v>
      </c>
      <c r="X100" s="4">
        <v>7</v>
      </c>
      <c r="Y100" s="4">
        <v>208</v>
      </c>
      <c r="Z100" s="4">
        <v>265</v>
      </c>
      <c r="AA100" s="4">
        <v>8</v>
      </c>
      <c r="AB100" s="4">
        <v>130</v>
      </c>
      <c r="AC100" s="4">
        <v>607.5</v>
      </c>
      <c r="AD100" s="4">
        <v>6</v>
      </c>
      <c r="AE100" s="4">
        <v>156</v>
      </c>
    </row>
    <row r="102" spans="2:31" x14ac:dyDescent="0.5">
      <c r="B102" t="s">
        <v>81</v>
      </c>
      <c r="C102" s="20" t="s">
        <v>73</v>
      </c>
      <c r="D102" s="22" t="s">
        <v>0</v>
      </c>
      <c r="E102" s="14" t="s">
        <v>1</v>
      </c>
      <c r="F102" s="15"/>
      <c r="G102" s="16"/>
      <c r="H102" s="14" t="s">
        <v>2</v>
      </c>
      <c r="I102" s="15"/>
      <c r="J102" s="16"/>
      <c r="K102" s="14" t="s">
        <v>3</v>
      </c>
      <c r="L102" s="15"/>
      <c r="M102" s="16"/>
      <c r="N102" s="14" t="s">
        <v>4</v>
      </c>
      <c r="O102" s="15"/>
      <c r="P102" s="16"/>
      <c r="Q102" s="14" t="s">
        <v>5</v>
      </c>
      <c r="R102" s="15"/>
      <c r="S102" s="16"/>
      <c r="T102" s="14" t="s">
        <v>6</v>
      </c>
      <c r="U102" s="15"/>
      <c r="V102" s="16"/>
      <c r="W102" s="14" t="s">
        <v>7</v>
      </c>
      <c r="X102" s="15"/>
      <c r="Y102" s="16"/>
      <c r="Z102" s="14" t="s">
        <v>8</v>
      </c>
      <c r="AA102" s="15"/>
      <c r="AB102" s="16"/>
      <c r="AC102" s="17" t="s">
        <v>75</v>
      </c>
      <c r="AD102" s="18"/>
      <c r="AE102" s="19"/>
    </row>
    <row r="103" spans="2:31" x14ac:dyDescent="0.5">
      <c r="C103" s="21"/>
      <c r="D103" s="23"/>
      <c r="E103" s="11" t="s">
        <v>9</v>
      </c>
      <c r="F103" s="11" t="s">
        <v>10</v>
      </c>
      <c r="G103" s="11" t="s">
        <v>11</v>
      </c>
      <c r="H103" s="11" t="s">
        <v>9</v>
      </c>
      <c r="I103" s="11" t="s">
        <v>10</v>
      </c>
      <c r="J103" s="11" t="s">
        <v>11</v>
      </c>
      <c r="K103" s="11" t="s">
        <v>9</v>
      </c>
      <c r="L103" s="11" t="s">
        <v>10</v>
      </c>
      <c r="M103" s="11" t="s">
        <v>11</v>
      </c>
      <c r="N103" s="11" t="s">
        <v>9</v>
      </c>
      <c r="O103" s="11" t="s">
        <v>10</v>
      </c>
      <c r="P103" s="11" t="s">
        <v>11</v>
      </c>
      <c r="Q103" s="11" t="s">
        <v>9</v>
      </c>
      <c r="R103" s="11" t="s">
        <v>10</v>
      </c>
      <c r="S103" s="11" t="s">
        <v>11</v>
      </c>
      <c r="T103" s="11" t="s">
        <v>9</v>
      </c>
      <c r="U103" s="11" t="s">
        <v>10</v>
      </c>
      <c r="V103" s="11" t="s">
        <v>11</v>
      </c>
      <c r="W103" s="11" t="s">
        <v>9</v>
      </c>
      <c r="X103" s="11" t="s">
        <v>10</v>
      </c>
      <c r="Y103" s="11" t="s">
        <v>11</v>
      </c>
      <c r="Z103" s="11" t="s">
        <v>9</v>
      </c>
      <c r="AA103" s="11" t="s">
        <v>10</v>
      </c>
      <c r="AB103" s="11" t="s">
        <v>11</v>
      </c>
      <c r="AC103" s="11" t="s">
        <v>12</v>
      </c>
      <c r="AD103" s="11" t="s">
        <v>13</v>
      </c>
      <c r="AE103" s="12" t="s">
        <v>11</v>
      </c>
    </row>
    <row r="104" spans="2:31" x14ac:dyDescent="0.5">
      <c r="C104" s="2" t="s">
        <v>39</v>
      </c>
      <c r="D104" s="3">
        <v>26</v>
      </c>
      <c r="E104" s="4">
        <v>98</v>
      </c>
      <c r="F104" s="4">
        <v>28</v>
      </c>
      <c r="G104" s="4">
        <v>604</v>
      </c>
      <c r="H104" s="4">
        <v>87</v>
      </c>
      <c r="I104" s="4">
        <v>34</v>
      </c>
      <c r="J104" s="4">
        <v>660</v>
      </c>
      <c r="K104" s="4">
        <v>131.5</v>
      </c>
      <c r="L104" s="4">
        <v>13</v>
      </c>
      <c r="M104" s="4">
        <v>323</v>
      </c>
      <c r="N104" s="4">
        <v>60</v>
      </c>
      <c r="O104" s="4">
        <v>32</v>
      </c>
      <c r="P104" s="4">
        <v>683</v>
      </c>
      <c r="Q104" s="4">
        <v>75</v>
      </c>
      <c r="R104" s="4">
        <v>34</v>
      </c>
      <c r="S104" s="4">
        <v>590</v>
      </c>
      <c r="T104" s="4">
        <v>82</v>
      </c>
      <c r="U104" s="4">
        <v>30</v>
      </c>
      <c r="V104" s="4">
        <v>444</v>
      </c>
      <c r="W104" s="4">
        <v>316.5</v>
      </c>
      <c r="X104" s="4">
        <v>28</v>
      </c>
      <c r="Y104" s="4">
        <v>511</v>
      </c>
      <c r="Z104" s="4">
        <v>217</v>
      </c>
      <c r="AA104" s="4">
        <v>31</v>
      </c>
      <c r="AB104" s="4">
        <v>564</v>
      </c>
      <c r="AC104" s="4">
        <v>533.5</v>
      </c>
      <c r="AD104" s="4">
        <v>32</v>
      </c>
      <c r="AE104" s="4">
        <v>537</v>
      </c>
    </row>
    <row r="106" spans="2:31" x14ac:dyDescent="0.5">
      <c r="B106" t="s">
        <v>81</v>
      </c>
      <c r="C106" s="20" t="s">
        <v>73</v>
      </c>
      <c r="D106" s="22" t="s">
        <v>0</v>
      </c>
      <c r="E106" s="14" t="s">
        <v>1</v>
      </c>
      <c r="F106" s="15"/>
      <c r="G106" s="16"/>
      <c r="H106" s="14" t="s">
        <v>2</v>
      </c>
      <c r="I106" s="15"/>
      <c r="J106" s="16"/>
      <c r="K106" s="14" t="s">
        <v>3</v>
      </c>
      <c r="L106" s="15"/>
      <c r="M106" s="16"/>
      <c r="N106" s="14" t="s">
        <v>4</v>
      </c>
      <c r="O106" s="15"/>
      <c r="P106" s="16"/>
      <c r="Q106" s="14" t="s">
        <v>5</v>
      </c>
      <c r="R106" s="15"/>
      <c r="S106" s="16"/>
      <c r="T106" s="14" t="s">
        <v>6</v>
      </c>
      <c r="U106" s="15"/>
      <c r="V106" s="16"/>
      <c r="W106" s="14" t="s">
        <v>7</v>
      </c>
      <c r="X106" s="15"/>
      <c r="Y106" s="16"/>
      <c r="Z106" s="14" t="s">
        <v>8</v>
      </c>
      <c r="AA106" s="15"/>
      <c r="AB106" s="16"/>
      <c r="AC106" s="17" t="s">
        <v>75</v>
      </c>
      <c r="AD106" s="18"/>
      <c r="AE106" s="19"/>
    </row>
    <row r="107" spans="2:31" x14ac:dyDescent="0.5">
      <c r="C107" s="21"/>
      <c r="D107" s="23"/>
      <c r="E107" s="11" t="s">
        <v>9</v>
      </c>
      <c r="F107" s="11" t="s">
        <v>10</v>
      </c>
      <c r="G107" s="11" t="s">
        <v>11</v>
      </c>
      <c r="H107" s="11" t="s">
        <v>9</v>
      </c>
      <c r="I107" s="11" t="s">
        <v>10</v>
      </c>
      <c r="J107" s="11" t="s">
        <v>11</v>
      </c>
      <c r="K107" s="11" t="s">
        <v>9</v>
      </c>
      <c r="L107" s="11" t="s">
        <v>10</v>
      </c>
      <c r="M107" s="11" t="s">
        <v>11</v>
      </c>
      <c r="N107" s="11" t="s">
        <v>9</v>
      </c>
      <c r="O107" s="11" t="s">
        <v>10</v>
      </c>
      <c r="P107" s="11" t="s">
        <v>11</v>
      </c>
      <c r="Q107" s="11" t="s">
        <v>9</v>
      </c>
      <c r="R107" s="11" t="s">
        <v>10</v>
      </c>
      <c r="S107" s="11" t="s">
        <v>11</v>
      </c>
      <c r="T107" s="11" t="s">
        <v>9</v>
      </c>
      <c r="U107" s="11" t="s">
        <v>10</v>
      </c>
      <c r="V107" s="11" t="s">
        <v>11</v>
      </c>
      <c r="W107" s="11" t="s">
        <v>9</v>
      </c>
      <c r="X107" s="11" t="s">
        <v>10</v>
      </c>
      <c r="Y107" s="11" t="s">
        <v>11</v>
      </c>
      <c r="Z107" s="11" t="s">
        <v>9</v>
      </c>
      <c r="AA107" s="11" t="s">
        <v>10</v>
      </c>
      <c r="AB107" s="11" t="s">
        <v>11</v>
      </c>
      <c r="AC107" s="11" t="s">
        <v>12</v>
      </c>
      <c r="AD107" s="11" t="s">
        <v>13</v>
      </c>
      <c r="AE107" s="12" t="s">
        <v>11</v>
      </c>
    </row>
    <row r="108" spans="2:31" x14ac:dyDescent="0.5">
      <c r="C108" s="2" t="s">
        <v>40</v>
      </c>
      <c r="D108" s="3">
        <v>27</v>
      </c>
      <c r="E108" s="4">
        <v>101</v>
      </c>
      <c r="F108" s="4">
        <v>24</v>
      </c>
      <c r="G108" s="4">
        <v>457</v>
      </c>
      <c r="H108" s="4">
        <v>47</v>
      </c>
      <c r="I108" s="4">
        <v>59</v>
      </c>
      <c r="J108" s="4">
        <v>1346</v>
      </c>
      <c r="K108" s="4">
        <v>113</v>
      </c>
      <c r="L108" s="4">
        <v>48</v>
      </c>
      <c r="M108" s="4">
        <v>970</v>
      </c>
      <c r="N108" s="4">
        <v>37</v>
      </c>
      <c r="O108" s="4">
        <v>54</v>
      </c>
      <c r="P108" s="4">
        <v>1187</v>
      </c>
      <c r="Q108" s="4">
        <v>78</v>
      </c>
      <c r="R108" s="4">
        <v>28</v>
      </c>
      <c r="S108" s="4">
        <v>460</v>
      </c>
      <c r="T108" s="4">
        <v>77</v>
      </c>
      <c r="U108" s="4">
        <v>39</v>
      </c>
      <c r="V108" s="4">
        <v>602</v>
      </c>
      <c r="W108" s="4">
        <v>261</v>
      </c>
      <c r="X108" s="4">
        <v>55</v>
      </c>
      <c r="Y108" s="4">
        <v>1147</v>
      </c>
      <c r="Z108" s="4">
        <v>192</v>
      </c>
      <c r="AA108" s="4">
        <v>45</v>
      </c>
      <c r="AB108" s="4">
        <v>820</v>
      </c>
      <c r="AC108" s="4">
        <v>453</v>
      </c>
      <c r="AD108" s="4">
        <v>50</v>
      </c>
      <c r="AE108" s="4">
        <v>1001</v>
      </c>
    </row>
    <row r="110" spans="2:31" x14ac:dyDescent="0.5">
      <c r="B110" t="s">
        <v>81</v>
      </c>
      <c r="C110" s="20" t="s">
        <v>73</v>
      </c>
      <c r="D110" s="22" t="s">
        <v>0</v>
      </c>
      <c r="E110" s="14" t="s">
        <v>1</v>
      </c>
      <c r="F110" s="15"/>
      <c r="G110" s="16"/>
      <c r="H110" s="14" t="s">
        <v>2</v>
      </c>
      <c r="I110" s="15"/>
      <c r="J110" s="16"/>
      <c r="K110" s="14" t="s">
        <v>3</v>
      </c>
      <c r="L110" s="15"/>
      <c r="M110" s="16"/>
      <c r="N110" s="14" t="s">
        <v>4</v>
      </c>
      <c r="O110" s="15"/>
      <c r="P110" s="16"/>
      <c r="Q110" s="14" t="s">
        <v>5</v>
      </c>
      <c r="R110" s="15"/>
      <c r="S110" s="16"/>
      <c r="T110" s="14" t="s">
        <v>6</v>
      </c>
      <c r="U110" s="15"/>
      <c r="V110" s="16"/>
      <c r="W110" s="14" t="s">
        <v>7</v>
      </c>
      <c r="X110" s="15"/>
      <c r="Y110" s="16"/>
      <c r="Z110" s="14" t="s">
        <v>8</v>
      </c>
      <c r="AA110" s="15"/>
      <c r="AB110" s="16"/>
      <c r="AC110" s="17" t="s">
        <v>75</v>
      </c>
      <c r="AD110" s="18"/>
      <c r="AE110" s="19"/>
    </row>
    <row r="111" spans="2:31" x14ac:dyDescent="0.5">
      <c r="C111" s="21"/>
      <c r="D111" s="23"/>
      <c r="E111" s="11" t="s">
        <v>9</v>
      </c>
      <c r="F111" s="11" t="s">
        <v>10</v>
      </c>
      <c r="G111" s="11" t="s">
        <v>11</v>
      </c>
      <c r="H111" s="11" t="s">
        <v>9</v>
      </c>
      <c r="I111" s="11" t="s">
        <v>10</v>
      </c>
      <c r="J111" s="11" t="s">
        <v>11</v>
      </c>
      <c r="K111" s="11" t="s">
        <v>9</v>
      </c>
      <c r="L111" s="11" t="s">
        <v>10</v>
      </c>
      <c r="M111" s="11" t="s">
        <v>11</v>
      </c>
      <c r="N111" s="11" t="s">
        <v>9</v>
      </c>
      <c r="O111" s="11" t="s">
        <v>10</v>
      </c>
      <c r="P111" s="11" t="s">
        <v>11</v>
      </c>
      <c r="Q111" s="11" t="s">
        <v>9</v>
      </c>
      <c r="R111" s="11" t="s">
        <v>10</v>
      </c>
      <c r="S111" s="11" t="s">
        <v>11</v>
      </c>
      <c r="T111" s="11" t="s">
        <v>9</v>
      </c>
      <c r="U111" s="11" t="s">
        <v>10</v>
      </c>
      <c r="V111" s="11" t="s">
        <v>11</v>
      </c>
      <c r="W111" s="11" t="s">
        <v>9</v>
      </c>
      <c r="X111" s="11" t="s">
        <v>10</v>
      </c>
      <c r="Y111" s="11" t="s">
        <v>11</v>
      </c>
      <c r="Z111" s="11" t="s">
        <v>9</v>
      </c>
      <c r="AA111" s="11" t="s">
        <v>10</v>
      </c>
      <c r="AB111" s="11" t="s">
        <v>11</v>
      </c>
      <c r="AC111" s="11" t="s">
        <v>12</v>
      </c>
      <c r="AD111" s="11" t="s">
        <v>13</v>
      </c>
      <c r="AE111" s="12" t="s">
        <v>11</v>
      </c>
    </row>
    <row r="112" spans="2:31" x14ac:dyDescent="0.5">
      <c r="C112" s="2" t="s">
        <v>41</v>
      </c>
      <c r="D112" s="3">
        <v>28</v>
      </c>
      <c r="E112" s="4">
        <v>81</v>
      </c>
      <c r="F112" s="4">
        <v>52</v>
      </c>
      <c r="G112" s="4">
        <v>1254</v>
      </c>
      <c r="H112" s="4">
        <v>83</v>
      </c>
      <c r="I112" s="4">
        <v>37</v>
      </c>
      <c r="J112" s="4">
        <v>740</v>
      </c>
      <c r="K112" s="4">
        <v>112.5</v>
      </c>
      <c r="L112" s="4">
        <v>50</v>
      </c>
      <c r="M112" s="4">
        <v>986</v>
      </c>
      <c r="N112" s="4">
        <v>75</v>
      </c>
      <c r="O112" s="4">
        <v>19</v>
      </c>
      <c r="P112" s="4">
        <v>353</v>
      </c>
      <c r="Q112" s="4">
        <v>71</v>
      </c>
      <c r="R112" s="4">
        <v>39</v>
      </c>
      <c r="S112" s="4">
        <v>726</v>
      </c>
      <c r="T112" s="4">
        <v>77</v>
      </c>
      <c r="U112" s="4">
        <v>39</v>
      </c>
      <c r="V112" s="4">
        <v>602</v>
      </c>
      <c r="W112" s="4">
        <v>276.5</v>
      </c>
      <c r="X112" s="4">
        <v>50</v>
      </c>
      <c r="Y112" s="4">
        <v>1007</v>
      </c>
      <c r="Z112" s="4">
        <v>223</v>
      </c>
      <c r="AA112" s="4">
        <v>28</v>
      </c>
      <c r="AB112" s="4">
        <v>504</v>
      </c>
      <c r="AC112" s="4">
        <v>499.5</v>
      </c>
      <c r="AD112" s="4">
        <v>40</v>
      </c>
      <c r="AE112" s="4">
        <v>731</v>
      </c>
    </row>
    <row r="114" spans="2:31" x14ac:dyDescent="0.5">
      <c r="B114" t="s">
        <v>81</v>
      </c>
      <c r="C114" s="20" t="s">
        <v>73</v>
      </c>
      <c r="D114" s="22" t="s">
        <v>0</v>
      </c>
      <c r="E114" s="14" t="s">
        <v>1</v>
      </c>
      <c r="F114" s="15"/>
      <c r="G114" s="16"/>
      <c r="H114" s="14" t="s">
        <v>2</v>
      </c>
      <c r="I114" s="15"/>
      <c r="J114" s="16"/>
      <c r="K114" s="14" t="s">
        <v>3</v>
      </c>
      <c r="L114" s="15"/>
      <c r="M114" s="16"/>
      <c r="N114" s="14" t="s">
        <v>4</v>
      </c>
      <c r="O114" s="15"/>
      <c r="P114" s="16"/>
      <c r="Q114" s="14" t="s">
        <v>5</v>
      </c>
      <c r="R114" s="15"/>
      <c r="S114" s="16"/>
      <c r="T114" s="14" t="s">
        <v>6</v>
      </c>
      <c r="U114" s="15"/>
      <c r="V114" s="16"/>
      <c r="W114" s="14" t="s">
        <v>7</v>
      </c>
      <c r="X114" s="15"/>
      <c r="Y114" s="16"/>
      <c r="Z114" s="14" t="s">
        <v>8</v>
      </c>
      <c r="AA114" s="15"/>
      <c r="AB114" s="16"/>
      <c r="AC114" s="17" t="s">
        <v>75</v>
      </c>
      <c r="AD114" s="18"/>
      <c r="AE114" s="19"/>
    </row>
    <row r="115" spans="2:31" x14ac:dyDescent="0.5">
      <c r="C115" s="21"/>
      <c r="D115" s="23"/>
      <c r="E115" s="11" t="s">
        <v>9</v>
      </c>
      <c r="F115" s="11" t="s">
        <v>10</v>
      </c>
      <c r="G115" s="11" t="s">
        <v>11</v>
      </c>
      <c r="H115" s="11" t="s">
        <v>9</v>
      </c>
      <c r="I115" s="11" t="s">
        <v>10</v>
      </c>
      <c r="J115" s="11" t="s">
        <v>11</v>
      </c>
      <c r="K115" s="11" t="s">
        <v>9</v>
      </c>
      <c r="L115" s="11" t="s">
        <v>10</v>
      </c>
      <c r="M115" s="11" t="s">
        <v>11</v>
      </c>
      <c r="N115" s="11" t="s">
        <v>9</v>
      </c>
      <c r="O115" s="11" t="s">
        <v>10</v>
      </c>
      <c r="P115" s="11" t="s">
        <v>11</v>
      </c>
      <c r="Q115" s="11" t="s">
        <v>9</v>
      </c>
      <c r="R115" s="11" t="s">
        <v>10</v>
      </c>
      <c r="S115" s="11" t="s">
        <v>11</v>
      </c>
      <c r="T115" s="11" t="s">
        <v>9</v>
      </c>
      <c r="U115" s="11" t="s">
        <v>10</v>
      </c>
      <c r="V115" s="11" t="s">
        <v>11</v>
      </c>
      <c r="W115" s="11" t="s">
        <v>9</v>
      </c>
      <c r="X115" s="11" t="s">
        <v>10</v>
      </c>
      <c r="Y115" s="11" t="s">
        <v>11</v>
      </c>
      <c r="Z115" s="11" t="s">
        <v>9</v>
      </c>
      <c r="AA115" s="11" t="s">
        <v>10</v>
      </c>
      <c r="AB115" s="11" t="s">
        <v>11</v>
      </c>
      <c r="AC115" s="11" t="s">
        <v>12</v>
      </c>
      <c r="AD115" s="11" t="s">
        <v>13</v>
      </c>
      <c r="AE115" s="12" t="s">
        <v>11</v>
      </c>
    </row>
    <row r="116" spans="2:31" x14ac:dyDescent="0.5">
      <c r="C116" s="2" t="s">
        <v>42</v>
      </c>
      <c r="D116" s="3">
        <v>29</v>
      </c>
      <c r="E116" s="4">
        <v>100</v>
      </c>
      <c r="F116" s="4">
        <v>26</v>
      </c>
      <c r="G116" s="4">
        <v>499</v>
      </c>
      <c r="H116" s="4">
        <v>96</v>
      </c>
      <c r="I116" s="4">
        <v>21</v>
      </c>
      <c r="J116" s="4">
        <v>459</v>
      </c>
      <c r="K116" s="4">
        <v>128.5</v>
      </c>
      <c r="L116" s="4">
        <v>21</v>
      </c>
      <c r="M116" s="4">
        <v>441</v>
      </c>
      <c r="N116" s="4">
        <v>83</v>
      </c>
      <c r="O116" s="4">
        <v>11</v>
      </c>
      <c r="P116" s="4">
        <v>213</v>
      </c>
      <c r="Q116" s="4">
        <v>84</v>
      </c>
      <c r="R116" s="4">
        <v>18</v>
      </c>
      <c r="S116" s="4">
        <v>279</v>
      </c>
      <c r="T116" s="4">
        <v>93</v>
      </c>
      <c r="U116" s="4">
        <v>7</v>
      </c>
      <c r="V116" s="4">
        <v>69</v>
      </c>
      <c r="W116" s="4">
        <v>324.5</v>
      </c>
      <c r="X116" s="4">
        <v>24</v>
      </c>
      <c r="Y116" s="4">
        <v>424</v>
      </c>
      <c r="Z116" s="4">
        <v>260</v>
      </c>
      <c r="AA116" s="4">
        <v>12</v>
      </c>
      <c r="AB116" s="4">
        <v>169</v>
      </c>
      <c r="AC116" s="4">
        <v>584.5</v>
      </c>
      <c r="AD116" s="4">
        <v>14</v>
      </c>
      <c r="AE116" s="4">
        <v>257</v>
      </c>
    </row>
    <row r="118" spans="2:31" x14ac:dyDescent="0.5">
      <c r="B118" t="s">
        <v>81</v>
      </c>
      <c r="C118" s="20" t="s">
        <v>73</v>
      </c>
      <c r="D118" s="22" t="s">
        <v>0</v>
      </c>
      <c r="E118" s="14" t="s">
        <v>1</v>
      </c>
      <c r="F118" s="15"/>
      <c r="G118" s="16"/>
      <c r="H118" s="14" t="s">
        <v>2</v>
      </c>
      <c r="I118" s="15"/>
      <c r="J118" s="16"/>
      <c r="K118" s="14" t="s">
        <v>3</v>
      </c>
      <c r="L118" s="15"/>
      <c r="M118" s="16"/>
      <c r="N118" s="14" t="s">
        <v>4</v>
      </c>
      <c r="O118" s="15"/>
      <c r="P118" s="16"/>
      <c r="Q118" s="14" t="s">
        <v>5</v>
      </c>
      <c r="R118" s="15"/>
      <c r="S118" s="16"/>
      <c r="T118" s="14" t="s">
        <v>6</v>
      </c>
      <c r="U118" s="15"/>
      <c r="V118" s="16"/>
      <c r="W118" s="14" t="s">
        <v>7</v>
      </c>
      <c r="X118" s="15"/>
      <c r="Y118" s="16"/>
      <c r="Z118" s="14" t="s">
        <v>8</v>
      </c>
      <c r="AA118" s="15"/>
      <c r="AB118" s="16"/>
      <c r="AC118" s="17" t="s">
        <v>75</v>
      </c>
      <c r="AD118" s="18"/>
      <c r="AE118" s="19"/>
    </row>
    <row r="119" spans="2:31" x14ac:dyDescent="0.5">
      <c r="C119" s="21"/>
      <c r="D119" s="23"/>
      <c r="E119" s="11" t="s">
        <v>9</v>
      </c>
      <c r="F119" s="11" t="s">
        <v>10</v>
      </c>
      <c r="G119" s="11" t="s">
        <v>11</v>
      </c>
      <c r="H119" s="11" t="s">
        <v>9</v>
      </c>
      <c r="I119" s="11" t="s">
        <v>10</v>
      </c>
      <c r="J119" s="11" t="s">
        <v>11</v>
      </c>
      <c r="K119" s="11" t="s">
        <v>9</v>
      </c>
      <c r="L119" s="11" t="s">
        <v>10</v>
      </c>
      <c r="M119" s="11" t="s">
        <v>11</v>
      </c>
      <c r="N119" s="11" t="s">
        <v>9</v>
      </c>
      <c r="O119" s="11" t="s">
        <v>10</v>
      </c>
      <c r="P119" s="11" t="s">
        <v>11</v>
      </c>
      <c r="Q119" s="11" t="s">
        <v>9</v>
      </c>
      <c r="R119" s="11" t="s">
        <v>10</v>
      </c>
      <c r="S119" s="11" t="s">
        <v>11</v>
      </c>
      <c r="T119" s="11" t="s">
        <v>9</v>
      </c>
      <c r="U119" s="11" t="s">
        <v>10</v>
      </c>
      <c r="V119" s="11" t="s">
        <v>11</v>
      </c>
      <c r="W119" s="11" t="s">
        <v>9</v>
      </c>
      <c r="X119" s="11" t="s">
        <v>10</v>
      </c>
      <c r="Y119" s="11" t="s">
        <v>11</v>
      </c>
      <c r="Z119" s="11" t="s">
        <v>9</v>
      </c>
      <c r="AA119" s="11" t="s">
        <v>10</v>
      </c>
      <c r="AB119" s="11" t="s">
        <v>11</v>
      </c>
      <c r="AC119" s="11" t="s">
        <v>12</v>
      </c>
      <c r="AD119" s="11" t="s">
        <v>13</v>
      </c>
      <c r="AE119" s="12" t="s">
        <v>11</v>
      </c>
    </row>
    <row r="120" spans="2:31" x14ac:dyDescent="0.5">
      <c r="C120" s="2" t="s">
        <v>43</v>
      </c>
      <c r="D120" s="3">
        <v>30</v>
      </c>
      <c r="E120" s="4">
        <v>91</v>
      </c>
      <c r="F120" s="4">
        <v>43</v>
      </c>
      <c r="G120" s="4">
        <v>914</v>
      </c>
      <c r="H120" s="4">
        <v>89</v>
      </c>
      <c r="I120" s="4">
        <v>30</v>
      </c>
      <c r="J120" s="4">
        <v>619</v>
      </c>
      <c r="K120" s="4">
        <v>134</v>
      </c>
      <c r="L120" s="4">
        <v>11</v>
      </c>
      <c r="M120" s="4">
        <v>243</v>
      </c>
      <c r="N120" s="4">
        <v>65</v>
      </c>
      <c r="O120" s="4">
        <v>27</v>
      </c>
      <c r="P120" s="4">
        <v>570</v>
      </c>
      <c r="Q120" s="4">
        <v>82</v>
      </c>
      <c r="R120" s="4">
        <v>20</v>
      </c>
      <c r="S120" s="4">
        <v>347</v>
      </c>
      <c r="T120" s="4">
        <v>76</v>
      </c>
      <c r="U120" s="4">
        <v>41</v>
      </c>
      <c r="V120" s="4">
        <v>640</v>
      </c>
      <c r="W120" s="4">
        <v>314</v>
      </c>
      <c r="X120" s="4">
        <v>32</v>
      </c>
      <c r="Y120" s="4">
        <v>540</v>
      </c>
      <c r="Z120" s="4">
        <v>223</v>
      </c>
      <c r="AA120" s="4">
        <v>28</v>
      </c>
      <c r="AB120" s="4">
        <v>504</v>
      </c>
      <c r="AC120" s="4">
        <v>537</v>
      </c>
      <c r="AD120" s="4">
        <v>30</v>
      </c>
      <c r="AE120" s="4">
        <v>516</v>
      </c>
    </row>
    <row r="122" spans="2:31" x14ac:dyDescent="0.5">
      <c r="B122" t="s">
        <v>81</v>
      </c>
      <c r="C122" s="20" t="s">
        <v>73</v>
      </c>
      <c r="D122" s="22" t="s">
        <v>0</v>
      </c>
      <c r="E122" s="14" t="s">
        <v>1</v>
      </c>
      <c r="F122" s="15"/>
      <c r="G122" s="16"/>
      <c r="H122" s="14" t="s">
        <v>2</v>
      </c>
      <c r="I122" s="15"/>
      <c r="J122" s="16"/>
      <c r="K122" s="14" t="s">
        <v>3</v>
      </c>
      <c r="L122" s="15"/>
      <c r="M122" s="16"/>
      <c r="N122" s="14" t="s">
        <v>4</v>
      </c>
      <c r="O122" s="15"/>
      <c r="P122" s="16"/>
      <c r="Q122" s="14" t="s">
        <v>5</v>
      </c>
      <c r="R122" s="15"/>
      <c r="S122" s="16"/>
      <c r="T122" s="14" t="s">
        <v>6</v>
      </c>
      <c r="U122" s="15"/>
      <c r="V122" s="16"/>
      <c r="W122" s="14" t="s">
        <v>7</v>
      </c>
      <c r="X122" s="15"/>
      <c r="Y122" s="16"/>
      <c r="Z122" s="14" t="s">
        <v>8</v>
      </c>
      <c r="AA122" s="15"/>
      <c r="AB122" s="16"/>
      <c r="AC122" s="17" t="s">
        <v>75</v>
      </c>
      <c r="AD122" s="18"/>
      <c r="AE122" s="19"/>
    </row>
    <row r="123" spans="2:31" x14ac:dyDescent="0.5">
      <c r="C123" s="21"/>
      <c r="D123" s="23"/>
      <c r="E123" s="11" t="s">
        <v>9</v>
      </c>
      <c r="F123" s="11" t="s">
        <v>10</v>
      </c>
      <c r="G123" s="11" t="s">
        <v>11</v>
      </c>
      <c r="H123" s="11" t="s">
        <v>9</v>
      </c>
      <c r="I123" s="11" t="s">
        <v>10</v>
      </c>
      <c r="J123" s="11" t="s">
        <v>11</v>
      </c>
      <c r="K123" s="11" t="s">
        <v>9</v>
      </c>
      <c r="L123" s="11" t="s">
        <v>10</v>
      </c>
      <c r="M123" s="11" t="s">
        <v>11</v>
      </c>
      <c r="N123" s="11" t="s">
        <v>9</v>
      </c>
      <c r="O123" s="11" t="s">
        <v>10</v>
      </c>
      <c r="P123" s="11" t="s">
        <v>11</v>
      </c>
      <c r="Q123" s="11" t="s">
        <v>9</v>
      </c>
      <c r="R123" s="11" t="s">
        <v>10</v>
      </c>
      <c r="S123" s="11" t="s">
        <v>11</v>
      </c>
      <c r="T123" s="11" t="s">
        <v>9</v>
      </c>
      <c r="U123" s="11" t="s">
        <v>10</v>
      </c>
      <c r="V123" s="11" t="s">
        <v>11</v>
      </c>
      <c r="W123" s="11" t="s">
        <v>9</v>
      </c>
      <c r="X123" s="11" t="s">
        <v>10</v>
      </c>
      <c r="Y123" s="11" t="s">
        <v>11</v>
      </c>
      <c r="Z123" s="11" t="s">
        <v>9</v>
      </c>
      <c r="AA123" s="11" t="s">
        <v>10</v>
      </c>
      <c r="AB123" s="11" t="s">
        <v>11</v>
      </c>
      <c r="AC123" s="11" t="s">
        <v>12</v>
      </c>
      <c r="AD123" s="11" t="s">
        <v>13</v>
      </c>
      <c r="AE123" s="12" t="s">
        <v>11</v>
      </c>
    </row>
    <row r="124" spans="2:31" x14ac:dyDescent="0.5">
      <c r="C124" s="2" t="s">
        <v>44</v>
      </c>
      <c r="D124" s="3">
        <v>31</v>
      </c>
      <c r="E124" s="4">
        <v>84</v>
      </c>
      <c r="F124" s="4">
        <v>50</v>
      </c>
      <c r="G124" s="4">
        <v>1173</v>
      </c>
      <c r="H124" s="4">
        <v>78</v>
      </c>
      <c r="I124" s="4">
        <v>42</v>
      </c>
      <c r="J124" s="4">
        <v>835</v>
      </c>
      <c r="K124" s="4">
        <v>105.5</v>
      </c>
      <c r="L124" s="4">
        <v>54</v>
      </c>
      <c r="M124" s="4">
        <v>1164</v>
      </c>
      <c r="N124" s="4">
        <v>48</v>
      </c>
      <c r="O124" s="4">
        <v>47</v>
      </c>
      <c r="P124" s="4">
        <v>948</v>
      </c>
      <c r="Q124" s="4">
        <v>62</v>
      </c>
      <c r="R124" s="4">
        <v>51</v>
      </c>
      <c r="S124" s="4">
        <v>987</v>
      </c>
      <c r="T124" s="4">
        <v>67</v>
      </c>
      <c r="U124" s="4">
        <v>51</v>
      </c>
      <c r="V124" s="4">
        <v>918</v>
      </c>
      <c r="W124" s="4">
        <v>267.5</v>
      </c>
      <c r="X124" s="4">
        <v>54</v>
      </c>
      <c r="Y124" s="4">
        <v>1080</v>
      </c>
      <c r="Z124" s="4">
        <v>177</v>
      </c>
      <c r="AA124" s="4">
        <v>49</v>
      </c>
      <c r="AB124" s="4">
        <v>968</v>
      </c>
      <c r="AC124" s="4">
        <v>444.5</v>
      </c>
      <c r="AD124" s="4">
        <v>54</v>
      </c>
      <c r="AE124" s="4">
        <v>1048</v>
      </c>
    </row>
    <row r="126" spans="2:31" x14ac:dyDescent="0.5">
      <c r="B126" t="s">
        <v>81</v>
      </c>
      <c r="C126" s="20" t="s">
        <v>73</v>
      </c>
      <c r="D126" s="22" t="s">
        <v>0</v>
      </c>
      <c r="E126" s="14" t="s">
        <v>1</v>
      </c>
      <c r="F126" s="15"/>
      <c r="G126" s="16"/>
      <c r="H126" s="14" t="s">
        <v>2</v>
      </c>
      <c r="I126" s="15"/>
      <c r="J126" s="16"/>
      <c r="K126" s="14" t="s">
        <v>3</v>
      </c>
      <c r="L126" s="15"/>
      <c r="M126" s="16"/>
      <c r="N126" s="14" t="s">
        <v>4</v>
      </c>
      <c r="O126" s="15"/>
      <c r="P126" s="16"/>
      <c r="Q126" s="14" t="s">
        <v>5</v>
      </c>
      <c r="R126" s="15"/>
      <c r="S126" s="16"/>
      <c r="T126" s="14" t="s">
        <v>6</v>
      </c>
      <c r="U126" s="15"/>
      <c r="V126" s="16"/>
      <c r="W126" s="14" t="s">
        <v>7</v>
      </c>
      <c r="X126" s="15"/>
      <c r="Y126" s="16"/>
      <c r="Z126" s="14" t="s">
        <v>8</v>
      </c>
      <c r="AA126" s="15"/>
      <c r="AB126" s="16"/>
      <c r="AC126" s="17" t="s">
        <v>75</v>
      </c>
      <c r="AD126" s="18"/>
      <c r="AE126" s="19"/>
    </row>
    <row r="127" spans="2:31" x14ac:dyDescent="0.5">
      <c r="C127" s="21"/>
      <c r="D127" s="23"/>
      <c r="E127" s="11" t="s">
        <v>9</v>
      </c>
      <c r="F127" s="11" t="s">
        <v>10</v>
      </c>
      <c r="G127" s="11" t="s">
        <v>11</v>
      </c>
      <c r="H127" s="11" t="s">
        <v>9</v>
      </c>
      <c r="I127" s="11" t="s">
        <v>10</v>
      </c>
      <c r="J127" s="11" t="s">
        <v>11</v>
      </c>
      <c r="K127" s="11" t="s">
        <v>9</v>
      </c>
      <c r="L127" s="11" t="s">
        <v>10</v>
      </c>
      <c r="M127" s="11" t="s">
        <v>11</v>
      </c>
      <c r="N127" s="11" t="s">
        <v>9</v>
      </c>
      <c r="O127" s="11" t="s">
        <v>10</v>
      </c>
      <c r="P127" s="11" t="s">
        <v>11</v>
      </c>
      <c r="Q127" s="11" t="s">
        <v>9</v>
      </c>
      <c r="R127" s="11" t="s">
        <v>10</v>
      </c>
      <c r="S127" s="11" t="s">
        <v>11</v>
      </c>
      <c r="T127" s="11" t="s">
        <v>9</v>
      </c>
      <c r="U127" s="11" t="s">
        <v>10</v>
      </c>
      <c r="V127" s="11" t="s">
        <v>11</v>
      </c>
      <c r="W127" s="11" t="s">
        <v>9</v>
      </c>
      <c r="X127" s="11" t="s">
        <v>10</v>
      </c>
      <c r="Y127" s="11" t="s">
        <v>11</v>
      </c>
      <c r="Z127" s="11" t="s">
        <v>9</v>
      </c>
      <c r="AA127" s="11" t="s">
        <v>10</v>
      </c>
      <c r="AB127" s="11" t="s">
        <v>11</v>
      </c>
      <c r="AC127" s="11" t="s">
        <v>12</v>
      </c>
      <c r="AD127" s="11" t="s">
        <v>13</v>
      </c>
      <c r="AE127" s="12" t="s">
        <v>11</v>
      </c>
    </row>
    <row r="128" spans="2:31" x14ac:dyDescent="0.5">
      <c r="C128" s="2" t="s">
        <v>45</v>
      </c>
      <c r="D128" s="3">
        <v>32</v>
      </c>
      <c r="E128" s="4">
        <v>108</v>
      </c>
      <c r="F128" s="4">
        <v>13</v>
      </c>
      <c r="G128" s="4">
        <v>207</v>
      </c>
      <c r="H128" s="4">
        <v>104</v>
      </c>
      <c r="I128" s="4">
        <v>15</v>
      </c>
      <c r="J128" s="4">
        <v>314</v>
      </c>
      <c r="K128" s="4">
        <v>102.5</v>
      </c>
      <c r="L128" s="4">
        <v>56</v>
      </c>
      <c r="M128" s="4">
        <v>1213</v>
      </c>
      <c r="N128" s="4">
        <v>76</v>
      </c>
      <c r="O128" s="4">
        <v>18</v>
      </c>
      <c r="P128" s="4">
        <v>330</v>
      </c>
      <c r="Q128" s="4">
        <v>80</v>
      </c>
      <c r="R128" s="4">
        <v>25</v>
      </c>
      <c r="S128" s="4">
        <v>411</v>
      </c>
      <c r="T128" s="4">
        <v>78</v>
      </c>
      <c r="U128" s="4">
        <v>36</v>
      </c>
      <c r="V128" s="4">
        <v>568</v>
      </c>
      <c r="W128" s="4">
        <v>314.5</v>
      </c>
      <c r="X128" s="4">
        <v>30</v>
      </c>
      <c r="Y128" s="4">
        <v>536</v>
      </c>
      <c r="Z128" s="4">
        <v>234</v>
      </c>
      <c r="AA128" s="4">
        <v>23</v>
      </c>
      <c r="AB128" s="4">
        <v>407</v>
      </c>
      <c r="AC128" s="4">
        <v>548.5</v>
      </c>
      <c r="AD128" s="4">
        <v>23</v>
      </c>
      <c r="AE128" s="4">
        <v>449</v>
      </c>
    </row>
    <row r="130" spans="2:31" x14ac:dyDescent="0.5">
      <c r="B130" t="s">
        <v>81</v>
      </c>
      <c r="C130" s="20" t="s">
        <v>73</v>
      </c>
      <c r="D130" s="22" t="s">
        <v>0</v>
      </c>
      <c r="E130" s="14" t="s">
        <v>1</v>
      </c>
      <c r="F130" s="15"/>
      <c r="G130" s="16"/>
      <c r="H130" s="14" t="s">
        <v>2</v>
      </c>
      <c r="I130" s="15"/>
      <c r="J130" s="16"/>
      <c r="K130" s="14" t="s">
        <v>3</v>
      </c>
      <c r="L130" s="15"/>
      <c r="M130" s="16"/>
      <c r="N130" s="14" t="s">
        <v>4</v>
      </c>
      <c r="O130" s="15"/>
      <c r="P130" s="16"/>
      <c r="Q130" s="14" t="s">
        <v>5</v>
      </c>
      <c r="R130" s="15"/>
      <c r="S130" s="16"/>
      <c r="T130" s="14" t="s">
        <v>6</v>
      </c>
      <c r="U130" s="15"/>
      <c r="V130" s="16"/>
      <c r="W130" s="14" t="s">
        <v>7</v>
      </c>
      <c r="X130" s="15"/>
      <c r="Y130" s="16"/>
      <c r="Z130" s="14" t="s">
        <v>8</v>
      </c>
      <c r="AA130" s="15"/>
      <c r="AB130" s="16"/>
      <c r="AC130" s="17" t="s">
        <v>75</v>
      </c>
      <c r="AD130" s="18"/>
      <c r="AE130" s="19"/>
    </row>
    <row r="131" spans="2:31" x14ac:dyDescent="0.5">
      <c r="C131" s="21"/>
      <c r="D131" s="23"/>
      <c r="E131" s="11" t="s">
        <v>9</v>
      </c>
      <c r="F131" s="11" t="s">
        <v>10</v>
      </c>
      <c r="G131" s="11" t="s">
        <v>11</v>
      </c>
      <c r="H131" s="11" t="s">
        <v>9</v>
      </c>
      <c r="I131" s="11" t="s">
        <v>10</v>
      </c>
      <c r="J131" s="11" t="s">
        <v>11</v>
      </c>
      <c r="K131" s="11" t="s">
        <v>9</v>
      </c>
      <c r="L131" s="11" t="s">
        <v>10</v>
      </c>
      <c r="M131" s="11" t="s">
        <v>11</v>
      </c>
      <c r="N131" s="11" t="s">
        <v>9</v>
      </c>
      <c r="O131" s="11" t="s">
        <v>10</v>
      </c>
      <c r="P131" s="11" t="s">
        <v>11</v>
      </c>
      <c r="Q131" s="11" t="s">
        <v>9</v>
      </c>
      <c r="R131" s="11" t="s">
        <v>10</v>
      </c>
      <c r="S131" s="11" t="s">
        <v>11</v>
      </c>
      <c r="T131" s="11" t="s">
        <v>9</v>
      </c>
      <c r="U131" s="11" t="s">
        <v>10</v>
      </c>
      <c r="V131" s="11" t="s">
        <v>11</v>
      </c>
      <c r="W131" s="11" t="s">
        <v>9</v>
      </c>
      <c r="X131" s="11" t="s">
        <v>10</v>
      </c>
      <c r="Y131" s="11" t="s">
        <v>11</v>
      </c>
      <c r="Z131" s="11" t="s">
        <v>9</v>
      </c>
      <c r="AA131" s="11" t="s">
        <v>10</v>
      </c>
      <c r="AB131" s="11" t="s">
        <v>11</v>
      </c>
      <c r="AC131" s="11" t="s">
        <v>12</v>
      </c>
      <c r="AD131" s="11" t="s">
        <v>13</v>
      </c>
      <c r="AE131" s="12" t="s">
        <v>11</v>
      </c>
    </row>
    <row r="132" spans="2:31" x14ac:dyDescent="0.5">
      <c r="C132" s="2" t="s">
        <v>46</v>
      </c>
      <c r="D132" s="3">
        <v>33</v>
      </c>
      <c r="E132" s="4">
        <v>112</v>
      </c>
      <c r="F132" s="4">
        <v>4</v>
      </c>
      <c r="G132" s="4">
        <v>104</v>
      </c>
      <c r="H132" s="4">
        <v>89</v>
      </c>
      <c r="I132" s="4">
        <v>30</v>
      </c>
      <c r="J132" s="4">
        <v>619</v>
      </c>
      <c r="K132" s="4">
        <v>130</v>
      </c>
      <c r="L132" s="4">
        <v>15</v>
      </c>
      <c r="M132" s="4">
        <v>378</v>
      </c>
      <c r="N132" s="4">
        <v>49</v>
      </c>
      <c r="O132" s="4">
        <v>44</v>
      </c>
      <c r="P132" s="4">
        <v>926</v>
      </c>
      <c r="Q132" s="4">
        <v>68</v>
      </c>
      <c r="R132" s="4">
        <v>45</v>
      </c>
      <c r="S132" s="4">
        <v>803</v>
      </c>
      <c r="T132" s="4">
        <v>70</v>
      </c>
      <c r="U132" s="4">
        <v>47</v>
      </c>
      <c r="V132" s="4">
        <v>815</v>
      </c>
      <c r="W132" s="4">
        <v>331</v>
      </c>
      <c r="X132" s="4">
        <v>18</v>
      </c>
      <c r="Y132" s="4">
        <v>343</v>
      </c>
      <c r="Z132" s="4">
        <v>187</v>
      </c>
      <c r="AA132" s="4">
        <v>46</v>
      </c>
      <c r="AB132" s="4">
        <v>870</v>
      </c>
      <c r="AC132" s="4">
        <v>518</v>
      </c>
      <c r="AD132" s="4">
        <v>36</v>
      </c>
      <c r="AE132" s="4">
        <v>628</v>
      </c>
    </row>
    <row r="134" spans="2:31" x14ac:dyDescent="0.5">
      <c r="B134" t="s">
        <v>81</v>
      </c>
      <c r="C134" s="20" t="s">
        <v>73</v>
      </c>
      <c r="D134" s="22" t="s">
        <v>0</v>
      </c>
      <c r="E134" s="14" t="s">
        <v>1</v>
      </c>
      <c r="F134" s="15"/>
      <c r="G134" s="16"/>
      <c r="H134" s="14" t="s">
        <v>2</v>
      </c>
      <c r="I134" s="15"/>
      <c r="J134" s="16"/>
      <c r="K134" s="14" t="s">
        <v>3</v>
      </c>
      <c r="L134" s="15"/>
      <c r="M134" s="16"/>
      <c r="N134" s="14" t="s">
        <v>4</v>
      </c>
      <c r="O134" s="15"/>
      <c r="P134" s="16"/>
      <c r="Q134" s="14" t="s">
        <v>5</v>
      </c>
      <c r="R134" s="15"/>
      <c r="S134" s="16"/>
      <c r="T134" s="14" t="s">
        <v>6</v>
      </c>
      <c r="U134" s="15"/>
      <c r="V134" s="16"/>
      <c r="W134" s="14" t="s">
        <v>7</v>
      </c>
      <c r="X134" s="15"/>
      <c r="Y134" s="16"/>
      <c r="Z134" s="14" t="s">
        <v>8</v>
      </c>
      <c r="AA134" s="15"/>
      <c r="AB134" s="16"/>
      <c r="AC134" s="17" t="s">
        <v>75</v>
      </c>
      <c r="AD134" s="18"/>
      <c r="AE134" s="19"/>
    </row>
    <row r="135" spans="2:31" x14ac:dyDescent="0.5">
      <c r="C135" s="21"/>
      <c r="D135" s="23"/>
      <c r="E135" s="11" t="s">
        <v>9</v>
      </c>
      <c r="F135" s="11" t="s">
        <v>10</v>
      </c>
      <c r="G135" s="11" t="s">
        <v>11</v>
      </c>
      <c r="H135" s="11" t="s">
        <v>9</v>
      </c>
      <c r="I135" s="11" t="s">
        <v>10</v>
      </c>
      <c r="J135" s="11" t="s">
        <v>11</v>
      </c>
      <c r="K135" s="11" t="s">
        <v>9</v>
      </c>
      <c r="L135" s="11" t="s">
        <v>10</v>
      </c>
      <c r="M135" s="11" t="s">
        <v>11</v>
      </c>
      <c r="N135" s="11" t="s">
        <v>9</v>
      </c>
      <c r="O135" s="11" t="s">
        <v>10</v>
      </c>
      <c r="P135" s="11" t="s">
        <v>11</v>
      </c>
      <c r="Q135" s="11" t="s">
        <v>9</v>
      </c>
      <c r="R135" s="11" t="s">
        <v>10</v>
      </c>
      <c r="S135" s="11" t="s">
        <v>11</v>
      </c>
      <c r="T135" s="11" t="s">
        <v>9</v>
      </c>
      <c r="U135" s="11" t="s">
        <v>10</v>
      </c>
      <c r="V135" s="11" t="s">
        <v>11</v>
      </c>
      <c r="W135" s="11" t="s">
        <v>9</v>
      </c>
      <c r="X135" s="11" t="s">
        <v>10</v>
      </c>
      <c r="Y135" s="11" t="s">
        <v>11</v>
      </c>
      <c r="Z135" s="11" t="s">
        <v>9</v>
      </c>
      <c r="AA135" s="11" t="s">
        <v>10</v>
      </c>
      <c r="AB135" s="11" t="s">
        <v>11</v>
      </c>
      <c r="AC135" s="11" t="s">
        <v>12</v>
      </c>
      <c r="AD135" s="11" t="s">
        <v>13</v>
      </c>
      <c r="AE135" s="12" t="s">
        <v>11</v>
      </c>
    </row>
    <row r="136" spans="2:31" x14ac:dyDescent="0.5">
      <c r="C136" s="2" t="s">
        <v>47</v>
      </c>
      <c r="D136" s="3">
        <v>34</v>
      </c>
      <c r="E136" s="4">
        <v>84</v>
      </c>
      <c r="F136" s="4">
        <v>50</v>
      </c>
      <c r="G136" s="4">
        <v>1173</v>
      </c>
      <c r="H136" s="4">
        <v>85</v>
      </c>
      <c r="I136" s="4">
        <v>36</v>
      </c>
      <c r="J136" s="4">
        <v>707</v>
      </c>
      <c r="K136" s="4">
        <v>129</v>
      </c>
      <c r="L136" s="4">
        <v>19</v>
      </c>
      <c r="M136" s="4">
        <v>425</v>
      </c>
      <c r="N136" s="4">
        <v>30</v>
      </c>
      <c r="O136" s="4">
        <v>59</v>
      </c>
      <c r="P136" s="4">
        <v>1306</v>
      </c>
      <c r="Q136" s="4">
        <v>64</v>
      </c>
      <c r="R136" s="4">
        <v>48</v>
      </c>
      <c r="S136" s="4">
        <v>928</v>
      </c>
      <c r="T136" s="4">
        <v>57</v>
      </c>
      <c r="U136" s="4">
        <v>56</v>
      </c>
      <c r="V136" s="4">
        <v>1140</v>
      </c>
      <c r="W136" s="4">
        <v>298</v>
      </c>
      <c r="X136" s="4">
        <v>37</v>
      </c>
      <c r="Y136" s="4">
        <v>752</v>
      </c>
      <c r="Z136" s="4">
        <v>151</v>
      </c>
      <c r="AA136" s="4">
        <v>57</v>
      </c>
      <c r="AB136" s="4">
        <v>1178</v>
      </c>
      <c r="AC136" s="4">
        <v>449</v>
      </c>
      <c r="AD136" s="4">
        <v>52</v>
      </c>
      <c r="AE136" s="4">
        <v>1021</v>
      </c>
    </row>
    <row r="138" spans="2:31" x14ac:dyDescent="0.5">
      <c r="B138" t="s">
        <v>81</v>
      </c>
      <c r="C138" s="20" t="s">
        <v>73</v>
      </c>
      <c r="D138" s="22" t="s">
        <v>0</v>
      </c>
      <c r="E138" s="14" t="s">
        <v>1</v>
      </c>
      <c r="F138" s="15"/>
      <c r="G138" s="16"/>
      <c r="H138" s="14" t="s">
        <v>2</v>
      </c>
      <c r="I138" s="15"/>
      <c r="J138" s="16"/>
      <c r="K138" s="14" t="s">
        <v>3</v>
      </c>
      <c r="L138" s="15"/>
      <c r="M138" s="16"/>
      <c r="N138" s="14" t="s">
        <v>4</v>
      </c>
      <c r="O138" s="15"/>
      <c r="P138" s="16"/>
      <c r="Q138" s="14" t="s">
        <v>5</v>
      </c>
      <c r="R138" s="15"/>
      <c r="S138" s="16"/>
      <c r="T138" s="14" t="s">
        <v>6</v>
      </c>
      <c r="U138" s="15"/>
      <c r="V138" s="16"/>
      <c r="W138" s="14" t="s">
        <v>7</v>
      </c>
      <c r="X138" s="15"/>
      <c r="Y138" s="16"/>
      <c r="Z138" s="14" t="s">
        <v>8</v>
      </c>
      <c r="AA138" s="15"/>
      <c r="AB138" s="16"/>
      <c r="AC138" s="17" t="s">
        <v>75</v>
      </c>
      <c r="AD138" s="18"/>
      <c r="AE138" s="19"/>
    </row>
    <row r="139" spans="2:31" x14ac:dyDescent="0.5">
      <c r="C139" s="21"/>
      <c r="D139" s="23"/>
      <c r="E139" s="11" t="s">
        <v>9</v>
      </c>
      <c r="F139" s="11" t="s">
        <v>10</v>
      </c>
      <c r="G139" s="11" t="s">
        <v>11</v>
      </c>
      <c r="H139" s="11" t="s">
        <v>9</v>
      </c>
      <c r="I139" s="11" t="s">
        <v>10</v>
      </c>
      <c r="J139" s="11" t="s">
        <v>11</v>
      </c>
      <c r="K139" s="11" t="s">
        <v>9</v>
      </c>
      <c r="L139" s="11" t="s">
        <v>10</v>
      </c>
      <c r="M139" s="11" t="s">
        <v>11</v>
      </c>
      <c r="N139" s="11" t="s">
        <v>9</v>
      </c>
      <c r="O139" s="11" t="s">
        <v>10</v>
      </c>
      <c r="P139" s="11" t="s">
        <v>11</v>
      </c>
      <c r="Q139" s="11" t="s">
        <v>9</v>
      </c>
      <c r="R139" s="11" t="s">
        <v>10</v>
      </c>
      <c r="S139" s="11" t="s">
        <v>11</v>
      </c>
      <c r="T139" s="11" t="s">
        <v>9</v>
      </c>
      <c r="U139" s="11" t="s">
        <v>10</v>
      </c>
      <c r="V139" s="11" t="s">
        <v>11</v>
      </c>
      <c r="W139" s="11" t="s">
        <v>9</v>
      </c>
      <c r="X139" s="11" t="s">
        <v>10</v>
      </c>
      <c r="Y139" s="11" t="s">
        <v>11</v>
      </c>
      <c r="Z139" s="11" t="s">
        <v>9</v>
      </c>
      <c r="AA139" s="11" t="s">
        <v>10</v>
      </c>
      <c r="AB139" s="11" t="s">
        <v>11</v>
      </c>
      <c r="AC139" s="11" t="s">
        <v>12</v>
      </c>
      <c r="AD139" s="11" t="s">
        <v>13</v>
      </c>
      <c r="AE139" s="12" t="s">
        <v>11</v>
      </c>
    </row>
    <row r="140" spans="2:31" x14ac:dyDescent="0.5">
      <c r="C140" s="2" t="s">
        <v>48</v>
      </c>
      <c r="D140" s="3">
        <v>35</v>
      </c>
      <c r="E140" s="4">
        <v>109</v>
      </c>
      <c r="F140" s="4">
        <v>10</v>
      </c>
      <c r="G140" s="4">
        <v>175</v>
      </c>
      <c r="H140" s="4">
        <v>129</v>
      </c>
      <c r="I140" s="4">
        <v>3</v>
      </c>
      <c r="J140" s="4">
        <v>43</v>
      </c>
      <c r="K140" s="4">
        <v>110.5</v>
      </c>
      <c r="L140" s="4">
        <v>51</v>
      </c>
      <c r="M140" s="4">
        <v>1041</v>
      </c>
      <c r="N140" s="4">
        <v>61</v>
      </c>
      <c r="O140" s="4">
        <v>30</v>
      </c>
      <c r="P140" s="4">
        <v>655</v>
      </c>
      <c r="Q140" s="4">
        <v>83</v>
      </c>
      <c r="R140" s="4">
        <v>19</v>
      </c>
      <c r="S140" s="4">
        <v>337</v>
      </c>
      <c r="T140" s="4">
        <v>91</v>
      </c>
      <c r="U140" s="4">
        <v>8</v>
      </c>
      <c r="V140" s="4">
        <v>128</v>
      </c>
      <c r="W140" s="4">
        <v>348.5</v>
      </c>
      <c r="X140" s="4">
        <v>4</v>
      </c>
      <c r="Y140" s="4">
        <v>160</v>
      </c>
      <c r="Z140" s="4">
        <v>235</v>
      </c>
      <c r="AA140" s="4">
        <v>22</v>
      </c>
      <c r="AB140" s="4">
        <v>403</v>
      </c>
      <c r="AC140" s="4">
        <v>583.5</v>
      </c>
      <c r="AD140" s="4">
        <v>15</v>
      </c>
      <c r="AE140" s="4">
        <v>261</v>
      </c>
    </row>
    <row r="142" spans="2:31" x14ac:dyDescent="0.5">
      <c r="B142" t="s">
        <v>81</v>
      </c>
      <c r="C142" s="20" t="s">
        <v>73</v>
      </c>
      <c r="D142" s="22" t="s">
        <v>0</v>
      </c>
      <c r="E142" s="14" t="s">
        <v>1</v>
      </c>
      <c r="F142" s="15"/>
      <c r="G142" s="16"/>
      <c r="H142" s="14" t="s">
        <v>2</v>
      </c>
      <c r="I142" s="15"/>
      <c r="J142" s="16"/>
      <c r="K142" s="14" t="s">
        <v>3</v>
      </c>
      <c r="L142" s="15"/>
      <c r="M142" s="16"/>
      <c r="N142" s="14" t="s">
        <v>4</v>
      </c>
      <c r="O142" s="15"/>
      <c r="P142" s="16"/>
      <c r="Q142" s="14" t="s">
        <v>5</v>
      </c>
      <c r="R142" s="15"/>
      <c r="S142" s="16"/>
      <c r="T142" s="14" t="s">
        <v>6</v>
      </c>
      <c r="U142" s="15"/>
      <c r="V142" s="16"/>
      <c r="W142" s="14" t="s">
        <v>7</v>
      </c>
      <c r="X142" s="15"/>
      <c r="Y142" s="16"/>
      <c r="Z142" s="14" t="s">
        <v>8</v>
      </c>
      <c r="AA142" s="15"/>
      <c r="AB142" s="16"/>
      <c r="AC142" s="17" t="s">
        <v>75</v>
      </c>
      <c r="AD142" s="18"/>
      <c r="AE142" s="19"/>
    </row>
    <row r="143" spans="2:31" x14ac:dyDescent="0.5">
      <c r="C143" s="21"/>
      <c r="D143" s="23"/>
      <c r="E143" s="11" t="s">
        <v>9</v>
      </c>
      <c r="F143" s="11" t="s">
        <v>10</v>
      </c>
      <c r="G143" s="11" t="s">
        <v>11</v>
      </c>
      <c r="H143" s="11" t="s">
        <v>9</v>
      </c>
      <c r="I143" s="11" t="s">
        <v>10</v>
      </c>
      <c r="J143" s="11" t="s">
        <v>11</v>
      </c>
      <c r="K143" s="11" t="s">
        <v>9</v>
      </c>
      <c r="L143" s="11" t="s">
        <v>10</v>
      </c>
      <c r="M143" s="11" t="s">
        <v>11</v>
      </c>
      <c r="N143" s="11" t="s">
        <v>9</v>
      </c>
      <c r="O143" s="11" t="s">
        <v>10</v>
      </c>
      <c r="P143" s="11" t="s">
        <v>11</v>
      </c>
      <c r="Q143" s="11" t="s">
        <v>9</v>
      </c>
      <c r="R143" s="11" t="s">
        <v>10</v>
      </c>
      <c r="S143" s="11" t="s">
        <v>11</v>
      </c>
      <c r="T143" s="11" t="s">
        <v>9</v>
      </c>
      <c r="U143" s="11" t="s">
        <v>10</v>
      </c>
      <c r="V143" s="11" t="s">
        <v>11</v>
      </c>
      <c r="W143" s="11" t="s">
        <v>9</v>
      </c>
      <c r="X143" s="11" t="s">
        <v>10</v>
      </c>
      <c r="Y143" s="11" t="s">
        <v>11</v>
      </c>
      <c r="Z143" s="11" t="s">
        <v>9</v>
      </c>
      <c r="AA143" s="11" t="s">
        <v>10</v>
      </c>
      <c r="AB143" s="11" t="s">
        <v>11</v>
      </c>
      <c r="AC143" s="11" t="s">
        <v>12</v>
      </c>
      <c r="AD143" s="11" t="s">
        <v>13</v>
      </c>
      <c r="AE143" s="12" t="s">
        <v>11</v>
      </c>
    </row>
    <row r="144" spans="2:31" x14ac:dyDescent="0.5">
      <c r="C144" s="2" t="s">
        <v>49</v>
      </c>
      <c r="D144" s="3">
        <v>36</v>
      </c>
      <c r="E144" s="4">
        <v>91</v>
      </c>
      <c r="F144" s="4">
        <v>43</v>
      </c>
      <c r="G144" s="4">
        <v>914</v>
      </c>
      <c r="H144" s="4">
        <v>109</v>
      </c>
      <c r="I144" s="4">
        <v>11</v>
      </c>
      <c r="J144" s="4">
        <v>227</v>
      </c>
      <c r="K144" s="4">
        <v>138.5</v>
      </c>
      <c r="L144" s="4">
        <v>3</v>
      </c>
      <c r="M144" s="4">
        <v>94</v>
      </c>
      <c r="N144" s="4">
        <v>75</v>
      </c>
      <c r="O144" s="4">
        <v>19</v>
      </c>
      <c r="P144" s="4">
        <v>353</v>
      </c>
      <c r="Q144" s="4">
        <v>94</v>
      </c>
      <c r="R144" s="4">
        <v>4</v>
      </c>
      <c r="S144" s="4">
        <v>27</v>
      </c>
      <c r="T144" s="4">
        <v>98</v>
      </c>
      <c r="U144" s="4">
        <v>1</v>
      </c>
      <c r="V144" s="4">
        <v>2</v>
      </c>
      <c r="W144" s="4">
        <v>338.5</v>
      </c>
      <c r="X144" s="4">
        <v>10</v>
      </c>
      <c r="Y144" s="4">
        <v>247</v>
      </c>
      <c r="Z144" s="4">
        <v>267</v>
      </c>
      <c r="AA144" s="4">
        <v>7</v>
      </c>
      <c r="AB144" s="4">
        <v>118</v>
      </c>
      <c r="AC144" s="4">
        <v>605.5</v>
      </c>
      <c r="AD144" s="4">
        <v>8</v>
      </c>
      <c r="AE144" s="4">
        <v>160</v>
      </c>
    </row>
    <row r="146" spans="2:31" x14ac:dyDescent="0.5">
      <c r="B146" t="s">
        <v>81</v>
      </c>
      <c r="C146" s="20" t="s">
        <v>73</v>
      </c>
      <c r="D146" s="22" t="s">
        <v>0</v>
      </c>
      <c r="E146" s="14" t="s">
        <v>1</v>
      </c>
      <c r="F146" s="15"/>
      <c r="G146" s="16"/>
      <c r="H146" s="14" t="s">
        <v>2</v>
      </c>
      <c r="I146" s="15"/>
      <c r="J146" s="16"/>
      <c r="K146" s="14" t="s">
        <v>3</v>
      </c>
      <c r="L146" s="15"/>
      <c r="M146" s="16"/>
      <c r="N146" s="14" t="s">
        <v>4</v>
      </c>
      <c r="O146" s="15"/>
      <c r="P146" s="16"/>
      <c r="Q146" s="14" t="s">
        <v>5</v>
      </c>
      <c r="R146" s="15"/>
      <c r="S146" s="16"/>
      <c r="T146" s="14" t="s">
        <v>6</v>
      </c>
      <c r="U146" s="15"/>
      <c r="V146" s="16"/>
      <c r="W146" s="14" t="s">
        <v>7</v>
      </c>
      <c r="X146" s="15"/>
      <c r="Y146" s="16"/>
      <c r="Z146" s="14" t="s">
        <v>8</v>
      </c>
      <c r="AA146" s="15"/>
      <c r="AB146" s="16"/>
      <c r="AC146" s="17" t="s">
        <v>75</v>
      </c>
      <c r="AD146" s="18"/>
      <c r="AE146" s="19"/>
    </row>
    <row r="147" spans="2:31" x14ac:dyDescent="0.5">
      <c r="C147" s="21"/>
      <c r="D147" s="23"/>
      <c r="E147" s="11" t="s">
        <v>9</v>
      </c>
      <c r="F147" s="11" t="s">
        <v>10</v>
      </c>
      <c r="G147" s="11" t="s">
        <v>11</v>
      </c>
      <c r="H147" s="11" t="s">
        <v>9</v>
      </c>
      <c r="I147" s="11" t="s">
        <v>10</v>
      </c>
      <c r="J147" s="11" t="s">
        <v>11</v>
      </c>
      <c r="K147" s="11" t="s">
        <v>9</v>
      </c>
      <c r="L147" s="11" t="s">
        <v>10</v>
      </c>
      <c r="M147" s="11" t="s">
        <v>11</v>
      </c>
      <c r="N147" s="11" t="s">
        <v>9</v>
      </c>
      <c r="O147" s="11" t="s">
        <v>10</v>
      </c>
      <c r="P147" s="11" t="s">
        <v>11</v>
      </c>
      <c r="Q147" s="11" t="s">
        <v>9</v>
      </c>
      <c r="R147" s="11" t="s">
        <v>10</v>
      </c>
      <c r="S147" s="11" t="s">
        <v>11</v>
      </c>
      <c r="T147" s="11" t="s">
        <v>9</v>
      </c>
      <c r="U147" s="11" t="s">
        <v>10</v>
      </c>
      <c r="V147" s="11" t="s">
        <v>11</v>
      </c>
      <c r="W147" s="11" t="s">
        <v>9</v>
      </c>
      <c r="X147" s="11" t="s">
        <v>10</v>
      </c>
      <c r="Y147" s="11" t="s">
        <v>11</v>
      </c>
      <c r="Z147" s="11" t="s">
        <v>9</v>
      </c>
      <c r="AA147" s="11" t="s">
        <v>10</v>
      </c>
      <c r="AB147" s="11" t="s">
        <v>11</v>
      </c>
      <c r="AC147" s="11" t="s">
        <v>12</v>
      </c>
      <c r="AD147" s="11" t="s">
        <v>13</v>
      </c>
      <c r="AE147" s="12" t="s">
        <v>11</v>
      </c>
    </row>
    <row r="148" spans="2:31" x14ac:dyDescent="0.5">
      <c r="C148" s="2" t="s">
        <v>50</v>
      </c>
      <c r="D148" s="3">
        <v>37</v>
      </c>
      <c r="E148" s="4">
        <v>107</v>
      </c>
      <c r="F148" s="4">
        <v>14</v>
      </c>
      <c r="G148" s="4">
        <v>243</v>
      </c>
      <c r="H148" s="4">
        <v>95</v>
      </c>
      <c r="I148" s="4">
        <v>22</v>
      </c>
      <c r="J148" s="4">
        <v>483</v>
      </c>
      <c r="K148" s="4">
        <v>134.5</v>
      </c>
      <c r="L148" s="4">
        <v>9</v>
      </c>
      <c r="M148" s="4">
        <v>231</v>
      </c>
      <c r="N148" s="4">
        <v>80</v>
      </c>
      <c r="O148" s="4">
        <v>15</v>
      </c>
      <c r="P148" s="4">
        <v>264</v>
      </c>
      <c r="Q148" s="4">
        <v>86</v>
      </c>
      <c r="R148" s="4">
        <v>14</v>
      </c>
      <c r="S148" s="4">
        <v>220</v>
      </c>
      <c r="T148" s="4">
        <v>94</v>
      </c>
      <c r="U148" s="4">
        <v>5</v>
      </c>
      <c r="V148" s="4">
        <v>50</v>
      </c>
      <c r="W148" s="4">
        <v>336.5</v>
      </c>
      <c r="X148" s="4">
        <v>13</v>
      </c>
      <c r="Y148" s="4">
        <v>279</v>
      </c>
      <c r="Z148" s="4">
        <v>260</v>
      </c>
      <c r="AA148" s="4">
        <v>12</v>
      </c>
      <c r="AB148" s="4">
        <v>169</v>
      </c>
      <c r="AC148" s="4">
        <v>596.5</v>
      </c>
      <c r="AD148" s="4">
        <v>11</v>
      </c>
      <c r="AE148" s="4">
        <v>194</v>
      </c>
    </row>
    <row r="150" spans="2:31" x14ac:dyDescent="0.5">
      <c r="B150" t="s">
        <v>81</v>
      </c>
      <c r="C150" s="20" t="s">
        <v>73</v>
      </c>
      <c r="D150" s="22" t="s">
        <v>0</v>
      </c>
      <c r="E150" s="14" t="s">
        <v>1</v>
      </c>
      <c r="F150" s="15"/>
      <c r="G150" s="16"/>
      <c r="H150" s="14" t="s">
        <v>2</v>
      </c>
      <c r="I150" s="15"/>
      <c r="J150" s="16"/>
      <c r="K150" s="14" t="s">
        <v>3</v>
      </c>
      <c r="L150" s="15"/>
      <c r="M150" s="16"/>
      <c r="N150" s="14" t="s">
        <v>4</v>
      </c>
      <c r="O150" s="15"/>
      <c r="P150" s="16"/>
      <c r="Q150" s="14" t="s">
        <v>5</v>
      </c>
      <c r="R150" s="15"/>
      <c r="S150" s="16"/>
      <c r="T150" s="14" t="s">
        <v>6</v>
      </c>
      <c r="U150" s="15"/>
      <c r="V150" s="16"/>
      <c r="W150" s="14" t="s">
        <v>7</v>
      </c>
      <c r="X150" s="15"/>
      <c r="Y150" s="16"/>
      <c r="Z150" s="14" t="s">
        <v>8</v>
      </c>
      <c r="AA150" s="15"/>
      <c r="AB150" s="16"/>
      <c r="AC150" s="17" t="s">
        <v>75</v>
      </c>
      <c r="AD150" s="18"/>
      <c r="AE150" s="19"/>
    </row>
    <row r="151" spans="2:31" x14ac:dyDescent="0.5">
      <c r="C151" s="21"/>
      <c r="D151" s="23"/>
      <c r="E151" s="11" t="s">
        <v>9</v>
      </c>
      <c r="F151" s="11" t="s">
        <v>10</v>
      </c>
      <c r="G151" s="11" t="s">
        <v>11</v>
      </c>
      <c r="H151" s="11" t="s">
        <v>9</v>
      </c>
      <c r="I151" s="11" t="s">
        <v>10</v>
      </c>
      <c r="J151" s="11" t="s">
        <v>11</v>
      </c>
      <c r="K151" s="11" t="s">
        <v>9</v>
      </c>
      <c r="L151" s="11" t="s">
        <v>10</v>
      </c>
      <c r="M151" s="11" t="s">
        <v>11</v>
      </c>
      <c r="N151" s="11" t="s">
        <v>9</v>
      </c>
      <c r="O151" s="11" t="s">
        <v>10</v>
      </c>
      <c r="P151" s="11" t="s">
        <v>11</v>
      </c>
      <c r="Q151" s="11" t="s">
        <v>9</v>
      </c>
      <c r="R151" s="11" t="s">
        <v>10</v>
      </c>
      <c r="S151" s="11" t="s">
        <v>11</v>
      </c>
      <c r="T151" s="11" t="s">
        <v>9</v>
      </c>
      <c r="U151" s="11" t="s">
        <v>10</v>
      </c>
      <c r="V151" s="11" t="s">
        <v>11</v>
      </c>
      <c r="W151" s="11" t="s">
        <v>9</v>
      </c>
      <c r="X151" s="11" t="s">
        <v>10</v>
      </c>
      <c r="Y151" s="11" t="s">
        <v>11</v>
      </c>
      <c r="Z151" s="11" t="s">
        <v>9</v>
      </c>
      <c r="AA151" s="11" t="s">
        <v>10</v>
      </c>
      <c r="AB151" s="11" t="s">
        <v>11</v>
      </c>
      <c r="AC151" s="11" t="s">
        <v>12</v>
      </c>
      <c r="AD151" s="11" t="s">
        <v>13</v>
      </c>
      <c r="AE151" s="12" t="s">
        <v>11</v>
      </c>
    </row>
    <row r="152" spans="2:31" x14ac:dyDescent="0.5">
      <c r="C152" s="2" t="s">
        <v>51</v>
      </c>
      <c r="D152" s="3">
        <v>38</v>
      </c>
      <c r="E152" s="4">
        <v>94</v>
      </c>
      <c r="F152" s="4">
        <v>37</v>
      </c>
      <c r="G152" s="4">
        <v>795</v>
      </c>
      <c r="H152" s="4">
        <v>61</v>
      </c>
      <c r="I152" s="4">
        <v>52</v>
      </c>
      <c r="J152" s="4">
        <v>1151</v>
      </c>
      <c r="K152" s="4">
        <v>117</v>
      </c>
      <c r="L152" s="4">
        <v>42</v>
      </c>
      <c r="M152" s="4">
        <v>847</v>
      </c>
      <c r="N152" s="4">
        <v>43</v>
      </c>
      <c r="O152" s="4">
        <v>49</v>
      </c>
      <c r="P152" s="4">
        <v>1046</v>
      </c>
      <c r="Q152" s="4">
        <v>70</v>
      </c>
      <c r="R152" s="4">
        <v>41</v>
      </c>
      <c r="S152" s="4">
        <v>743</v>
      </c>
      <c r="T152" s="4">
        <v>80</v>
      </c>
      <c r="U152" s="4">
        <v>33</v>
      </c>
      <c r="V152" s="4">
        <v>497</v>
      </c>
      <c r="W152" s="4">
        <v>272</v>
      </c>
      <c r="X152" s="4">
        <v>51</v>
      </c>
      <c r="Y152" s="4">
        <v>1048</v>
      </c>
      <c r="Z152" s="4">
        <v>193</v>
      </c>
      <c r="AA152" s="4">
        <v>44</v>
      </c>
      <c r="AB152" s="4">
        <v>812</v>
      </c>
      <c r="AC152" s="4">
        <v>465</v>
      </c>
      <c r="AD152" s="4">
        <v>48</v>
      </c>
      <c r="AE152" s="4">
        <v>925</v>
      </c>
    </row>
    <row r="154" spans="2:31" x14ac:dyDescent="0.5">
      <c r="B154" t="s">
        <v>81</v>
      </c>
      <c r="C154" s="20" t="s">
        <v>73</v>
      </c>
      <c r="D154" s="22" t="s">
        <v>0</v>
      </c>
      <c r="E154" s="14" t="s">
        <v>1</v>
      </c>
      <c r="F154" s="15"/>
      <c r="G154" s="16"/>
      <c r="H154" s="14" t="s">
        <v>2</v>
      </c>
      <c r="I154" s="15"/>
      <c r="J154" s="16"/>
      <c r="K154" s="14" t="s">
        <v>3</v>
      </c>
      <c r="L154" s="15"/>
      <c r="M154" s="16"/>
      <c r="N154" s="14" t="s">
        <v>4</v>
      </c>
      <c r="O154" s="15"/>
      <c r="P154" s="16"/>
      <c r="Q154" s="14" t="s">
        <v>5</v>
      </c>
      <c r="R154" s="15"/>
      <c r="S154" s="16"/>
      <c r="T154" s="14" t="s">
        <v>6</v>
      </c>
      <c r="U154" s="15"/>
      <c r="V154" s="16"/>
      <c r="W154" s="14" t="s">
        <v>7</v>
      </c>
      <c r="X154" s="15"/>
      <c r="Y154" s="16"/>
      <c r="Z154" s="14" t="s">
        <v>8</v>
      </c>
      <c r="AA154" s="15"/>
      <c r="AB154" s="16"/>
      <c r="AC154" s="17" t="s">
        <v>75</v>
      </c>
      <c r="AD154" s="18"/>
      <c r="AE154" s="19"/>
    </row>
    <row r="155" spans="2:31" x14ac:dyDescent="0.5">
      <c r="C155" s="21"/>
      <c r="D155" s="23"/>
      <c r="E155" s="11" t="s">
        <v>9</v>
      </c>
      <c r="F155" s="11" t="s">
        <v>10</v>
      </c>
      <c r="G155" s="11" t="s">
        <v>11</v>
      </c>
      <c r="H155" s="11" t="s">
        <v>9</v>
      </c>
      <c r="I155" s="11" t="s">
        <v>10</v>
      </c>
      <c r="J155" s="11" t="s">
        <v>11</v>
      </c>
      <c r="K155" s="11" t="s">
        <v>9</v>
      </c>
      <c r="L155" s="11" t="s">
        <v>10</v>
      </c>
      <c r="M155" s="11" t="s">
        <v>11</v>
      </c>
      <c r="N155" s="11" t="s">
        <v>9</v>
      </c>
      <c r="O155" s="11" t="s">
        <v>10</v>
      </c>
      <c r="P155" s="11" t="s">
        <v>11</v>
      </c>
      <c r="Q155" s="11" t="s">
        <v>9</v>
      </c>
      <c r="R155" s="11" t="s">
        <v>10</v>
      </c>
      <c r="S155" s="11" t="s">
        <v>11</v>
      </c>
      <c r="T155" s="11" t="s">
        <v>9</v>
      </c>
      <c r="U155" s="11" t="s">
        <v>10</v>
      </c>
      <c r="V155" s="11" t="s">
        <v>11</v>
      </c>
      <c r="W155" s="11" t="s">
        <v>9</v>
      </c>
      <c r="X155" s="11" t="s">
        <v>10</v>
      </c>
      <c r="Y155" s="11" t="s">
        <v>11</v>
      </c>
      <c r="Z155" s="11" t="s">
        <v>9</v>
      </c>
      <c r="AA155" s="11" t="s">
        <v>10</v>
      </c>
      <c r="AB155" s="11" t="s">
        <v>11</v>
      </c>
      <c r="AC155" s="11" t="s">
        <v>12</v>
      </c>
      <c r="AD155" s="11" t="s">
        <v>13</v>
      </c>
      <c r="AE155" s="12" t="s">
        <v>11</v>
      </c>
    </row>
    <row r="156" spans="2:31" x14ac:dyDescent="0.5">
      <c r="C156" s="2" t="s">
        <v>52</v>
      </c>
      <c r="D156" s="3">
        <v>39</v>
      </c>
      <c r="E156" s="4">
        <v>75</v>
      </c>
      <c r="F156" s="4">
        <v>55</v>
      </c>
      <c r="G156" s="4">
        <v>1345</v>
      </c>
      <c r="H156" s="4">
        <v>93</v>
      </c>
      <c r="I156" s="4">
        <v>26</v>
      </c>
      <c r="J156" s="4">
        <v>526</v>
      </c>
      <c r="K156" s="4">
        <v>101</v>
      </c>
      <c r="L156" s="4">
        <v>57</v>
      </c>
      <c r="M156" s="4">
        <v>1231</v>
      </c>
      <c r="N156" s="4">
        <v>55</v>
      </c>
      <c r="O156" s="4">
        <v>36</v>
      </c>
      <c r="P156" s="4">
        <v>810</v>
      </c>
      <c r="Q156" s="4">
        <v>86</v>
      </c>
      <c r="R156" s="4">
        <v>14</v>
      </c>
      <c r="S156" s="4">
        <v>220</v>
      </c>
      <c r="T156" s="4">
        <v>84</v>
      </c>
      <c r="U156" s="4">
        <v>23</v>
      </c>
      <c r="V156" s="4">
        <v>379</v>
      </c>
      <c r="W156" s="4">
        <v>269</v>
      </c>
      <c r="X156" s="4">
        <v>53</v>
      </c>
      <c r="Y156" s="4">
        <v>1067</v>
      </c>
      <c r="Z156" s="4">
        <v>225</v>
      </c>
      <c r="AA156" s="4">
        <v>26</v>
      </c>
      <c r="AB156" s="4">
        <v>485</v>
      </c>
      <c r="AC156" s="4">
        <v>494</v>
      </c>
      <c r="AD156" s="4">
        <v>42</v>
      </c>
      <c r="AE156" s="4">
        <v>761</v>
      </c>
    </row>
    <row r="158" spans="2:31" x14ac:dyDescent="0.5">
      <c r="B158" t="s">
        <v>81</v>
      </c>
      <c r="C158" s="20" t="s">
        <v>73</v>
      </c>
      <c r="D158" s="22" t="s">
        <v>0</v>
      </c>
      <c r="E158" s="14" t="s">
        <v>1</v>
      </c>
      <c r="F158" s="15"/>
      <c r="G158" s="16"/>
      <c r="H158" s="14" t="s">
        <v>2</v>
      </c>
      <c r="I158" s="15"/>
      <c r="J158" s="16"/>
      <c r="K158" s="14" t="s">
        <v>3</v>
      </c>
      <c r="L158" s="15"/>
      <c r="M158" s="16"/>
      <c r="N158" s="14" t="s">
        <v>4</v>
      </c>
      <c r="O158" s="15"/>
      <c r="P158" s="16"/>
      <c r="Q158" s="14" t="s">
        <v>5</v>
      </c>
      <c r="R158" s="15"/>
      <c r="S158" s="16"/>
      <c r="T158" s="14" t="s">
        <v>6</v>
      </c>
      <c r="U158" s="15"/>
      <c r="V158" s="16"/>
      <c r="W158" s="14" t="s">
        <v>7</v>
      </c>
      <c r="X158" s="15"/>
      <c r="Y158" s="16"/>
      <c r="Z158" s="14" t="s">
        <v>8</v>
      </c>
      <c r="AA158" s="15"/>
      <c r="AB158" s="16"/>
      <c r="AC158" s="17" t="s">
        <v>75</v>
      </c>
      <c r="AD158" s="18"/>
      <c r="AE158" s="19"/>
    </row>
    <row r="159" spans="2:31" x14ac:dyDescent="0.5">
      <c r="C159" s="21"/>
      <c r="D159" s="23"/>
      <c r="E159" s="11" t="s">
        <v>9</v>
      </c>
      <c r="F159" s="11" t="s">
        <v>10</v>
      </c>
      <c r="G159" s="11" t="s">
        <v>11</v>
      </c>
      <c r="H159" s="11" t="s">
        <v>9</v>
      </c>
      <c r="I159" s="11" t="s">
        <v>10</v>
      </c>
      <c r="J159" s="11" t="s">
        <v>11</v>
      </c>
      <c r="K159" s="11" t="s">
        <v>9</v>
      </c>
      <c r="L159" s="11" t="s">
        <v>10</v>
      </c>
      <c r="M159" s="11" t="s">
        <v>11</v>
      </c>
      <c r="N159" s="11" t="s">
        <v>9</v>
      </c>
      <c r="O159" s="11" t="s">
        <v>10</v>
      </c>
      <c r="P159" s="11" t="s">
        <v>11</v>
      </c>
      <c r="Q159" s="11" t="s">
        <v>9</v>
      </c>
      <c r="R159" s="11" t="s">
        <v>10</v>
      </c>
      <c r="S159" s="11" t="s">
        <v>11</v>
      </c>
      <c r="T159" s="11" t="s">
        <v>9</v>
      </c>
      <c r="U159" s="11" t="s">
        <v>10</v>
      </c>
      <c r="V159" s="11" t="s">
        <v>11</v>
      </c>
      <c r="W159" s="11" t="s">
        <v>9</v>
      </c>
      <c r="X159" s="11" t="s">
        <v>10</v>
      </c>
      <c r="Y159" s="11" t="s">
        <v>11</v>
      </c>
      <c r="Z159" s="11" t="s">
        <v>9</v>
      </c>
      <c r="AA159" s="11" t="s">
        <v>10</v>
      </c>
      <c r="AB159" s="11" t="s">
        <v>11</v>
      </c>
      <c r="AC159" s="11" t="s">
        <v>12</v>
      </c>
      <c r="AD159" s="11" t="s">
        <v>13</v>
      </c>
      <c r="AE159" s="12" t="s">
        <v>11</v>
      </c>
    </row>
    <row r="160" spans="2:31" x14ac:dyDescent="0.5">
      <c r="C160" s="2" t="s">
        <v>53</v>
      </c>
      <c r="D160" s="3">
        <v>40</v>
      </c>
      <c r="E160" s="4">
        <v>96</v>
      </c>
      <c r="F160" s="4">
        <v>33</v>
      </c>
      <c r="G160" s="4">
        <v>696</v>
      </c>
      <c r="H160" s="4">
        <v>69</v>
      </c>
      <c r="I160" s="4">
        <v>48</v>
      </c>
      <c r="J160" s="4">
        <v>1027</v>
      </c>
      <c r="K160" s="4">
        <v>126</v>
      </c>
      <c r="L160" s="4">
        <v>26</v>
      </c>
      <c r="M160" s="4">
        <v>521</v>
      </c>
      <c r="N160" s="4">
        <v>52</v>
      </c>
      <c r="O160" s="4">
        <v>38</v>
      </c>
      <c r="P160" s="4">
        <v>860</v>
      </c>
      <c r="Q160" s="4">
        <v>77</v>
      </c>
      <c r="R160" s="4">
        <v>30</v>
      </c>
      <c r="S160" s="4">
        <v>518</v>
      </c>
      <c r="T160" s="4">
        <v>83</v>
      </c>
      <c r="U160" s="4">
        <v>26</v>
      </c>
      <c r="V160" s="4">
        <v>407</v>
      </c>
      <c r="W160" s="4">
        <v>291</v>
      </c>
      <c r="X160" s="4">
        <v>42</v>
      </c>
      <c r="Y160" s="4">
        <v>849</v>
      </c>
      <c r="Z160" s="4">
        <v>212</v>
      </c>
      <c r="AA160" s="4">
        <v>33</v>
      </c>
      <c r="AB160" s="4">
        <v>615</v>
      </c>
      <c r="AC160" s="4">
        <v>503</v>
      </c>
      <c r="AD160" s="4">
        <v>38</v>
      </c>
      <c r="AE160" s="4">
        <v>711</v>
      </c>
    </row>
    <row r="162" spans="2:31" x14ac:dyDescent="0.5">
      <c r="B162" t="s">
        <v>81</v>
      </c>
      <c r="C162" s="20" t="s">
        <v>73</v>
      </c>
      <c r="D162" s="22" t="s">
        <v>0</v>
      </c>
      <c r="E162" s="14" t="s">
        <v>1</v>
      </c>
      <c r="F162" s="15"/>
      <c r="G162" s="16"/>
      <c r="H162" s="14" t="s">
        <v>2</v>
      </c>
      <c r="I162" s="15"/>
      <c r="J162" s="16"/>
      <c r="K162" s="14" t="s">
        <v>3</v>
      </c>
      <c r="L162" s="15"/>
      <c r="M162" s="16"/>
      <c r="N162" s="14" t="s">
        <v>4</v>
      </c>
      <c r="O162" s="15"/>
      <c r="P162" s="16"/>
      <c r="Q162" s="14" t="s">
        <v>5</v>
      </c>
      <c r="R162" s="15"/>
      <c r="S162" s="16"/>
      <c r="T162" s="14" t="s">
        <v>6</v>
      </c>
      <c r="U162" s="15"/>
      <c r="V162" s="16"/>
      <c r="W162" s="14" t="s">
        <v>7</v>
      </c>
      <c r="X162" s="15"/>
      <c r="Y162" s="16"/>
      <c r="Z162" s="14" t="s">
        <v>8</v>
      </c>
      <c r="AA162" s="15"/>
      <c r="AB162" s="16"/>
      <c r="AC162" s="17" t="s">
        <v>75</v>
      </c>
      <c r="AD162" s="18"/>
      <c r="AE162" s="19"/>
    </row>
    <row r="163" spans="2:31" x14ac:dyDescent="0.5">
      <c r="C163" s="21"/>
      <c r="D163" s="23"/>
      <c r="E163" s="11" t="s">
        <v>9</v>
      </c>
      <c r="F163" s="11" t="s">
        <v>10</v>
      </c>
      <c r="G163" s="11" t="s">
        <v>11</v>
      </c>
      <c r="H163" s="11" t="s">
        <v>9</v>
      </c>
      <c r="I163" s="11" t="s">
        <v>10</v>
      </c>
      <c r="J163" s="11" t="s">
        <v>11</v>
      </c>
      <c r="K163" s="11" t="s">
        <v>9</v>
      </c>
      <c r="L163" s="11" t="s">
        <v>10</v>
      </c>
      <c r="M163" s="11" t="s">
        <v>11</v>
      </c>
      <c r="N163" s="11" t="s">
        <v>9</v>
      </c>
      <c r="O163" s="11" t="s">
        <v>10</v>
      </c>
      <c r="P163" s="11" t="s">
        <v>11</v>
      </c>
      <c r="Q163" s="11" t="s">
        <v>9</v>
      </c>
      <c r="R163" s="11" t="s">
        <v>10</v>
      </c>
      <c r="S163" s="11" t="s">
        <v>11</v>
      </c>
      <c r="T163" s="11" t="s">
        <v>9</v>
      </c>
      <c r="U163" s="11" t="s">
        <v>10</v>
      </c>
      <c r="V163" s="11" t="s">
        <v>11</v>
      </c>
      <c r="W163" s="11" t="s">
        <v>9</v>
      </c>
      <c r="X163" s="11" t="s">
        <v>10</v>
      </c>
      <c r="Y163" s="11" t="s">
        <v>11</v>
      </c>
      <c r="Z163" s="11" t="s">
        <v>9</v>
      </c>
      <c r="AA163" s="11" t="s">
        <v>10</v>
      </c>
      <c r="AB163" s="11" t="s">
        <v>11</v>
      </c>
      <c r="AC163" s="11" t="s">
        <v>12</v>
      </c>
      <c r="AD163" s="11" t="s">
        <v>13</v>
      </c>
      <c r="AE163" s="12" t="s">
        <v>11</v>
      </c>
    </row>
    <row r="164" spans="2:31" x14ac:dyDescent="0.5">
      <c r="C164" s="2" t="s">
        <v>54</v>
      </c>
      <c r="D164" s="3">
        <v>41</v>
      </c>
      <c r="E164" s="4">
        <v>94</v>
      </c>
      <c r="F164" s="4">
        <v>37</v>
      </c>
      <c r="G164" s="4">
        <v>795</v>
      </c>
      <c r="H164" s="4">
        <v>115</v>
      </c>
      <c r="I164" s="4">
        <v>7</v>
      </c>
      <c r="J164" s="4">
        <v>147</v>
      </c>
      <c r="K164" s="4">
        <v>115</v>
      </c>
      <c r="L164" s="4">
        <v>44</v>
      </c>
      <c r="M164" s="4">
        <v>916</v>
      </c>
      <c r="N164" s="4">
        <v>93</v>
      </c>
      <c r="O164" s="4">
        <v>6</v>
      </c>
      <c r="P164" s="4">
        <v>88</v>
      </c>
      <c r="Q164" s="4">
        <v>96</v>
      </c>
      <c r="R164" s="4">
        <v>2</v>
      </c>
      <c r="S164" s="4">
        <v>11</v>
      </c>
      <c r="T164" s="4">
        <v>94</v>
      </c>
      <c r="U164" s="4">
        <v>5</v>
      </c>
      <c r="V164" s="4">
        <v>50</v>
      </c>
      <c r="W164" s="4">
        <v>324</v>
      </c>
      <c r="X164" s="4">
        <v>25</v>
      </c>
      <c r="Y164" s="4">
        <v>430</v>
      </c>
      <c r="Z164" s="4">
        <v>283</v>
      </c>
      <c r="AA164" s="4">
        <v>3</v>
      </c>
      <c r="AB164" s="4">
        <v>39</v>
      </c>
      <c r="AC164" s="4">
        <v>607</v>
      </c>
      <c r="AD164" s="4">
        <v>7</v>
      </c>
      <c r="AE164" s="4">
        <v>157</v>
      </c>
    </row>
    <row r="166" spans="2:31" x14ac:dyDescent="0.5">
      <c r="B166" t="s">
        <v>81</v>
      </c>
      <c r="C166" s="20" t="s">
        <v>73</v>
      </c>
      <c r="D166" s="22" t="s">
        <v>0</v>
      </c>
      <c r="E166" s="14" t="s">
        <v>1</v>
      </c>
      <c r="F166" s="15"/>
      <c r="G166" s="16"/>
      <c r="H166" s="14" t="s">
        <v>2</v>
      </c>
      <c r="I166" s="15"/>
      <c r="J166" s="16"/>
      <c r="K166" s="14" t="s">
        <v>3</v>
      </c>
      <c r="L166" s="15"/>
      <c r="M166" s="16"/>
      <c r="N166" s="14" t="s">
        <v>4</v>
      </c>
      <c r="O166" s="15"/>
      <c r="P166" s="16"/>
      <c r="Q166" s="14" t="s">
        <v>5</v>
      </c>
      <c r="R166" s="15"/>
      <c r="S166" s="16"/>
      <c r="T166" s="14" t="s">
        <v>6</v>
      </c>
      <c r="U166" s="15"/>
      <c r="V166" s="16"/>
      <c r="W166" s="14" t="s">
        <v>7</v>
      </c>
      <c r="X166" s="15"/>
      <c r="Y166" s="16"/>
      <c r="Z166" s="14" t="s">
        <v>8</v>
      </c>
      <c r="AA166" s="15"/>
      <c r="AB166" s="16"/>
      <c r="AC166" s="17" t="s">
        <v>75</v>
      </c>
      <c r="AD166" s="18"/>
      <c r="AE166" s="19"/>
    </row>
    <row r="167" spans="2:31" x14ac:dyDescent="0.5">
      <c r="C167" s="21"/>
      <c r="D167" s="23"/>
      <c r="E167" s="11" t="s">
        <v>9</v>
      </c>
      <c r="F167" s="11" t="s">
        <v>10</v>
      </c>
      <c r="G167" s="11" t="s">
        <v>11</v>
      </c>
      <c r="H167" s="11" t="s">
        <v>9</v>
      </c>
      <c r="I167" s="11" t="s">
        <v>10</v>
      </c>
      <c r="J167" s="11" t="s">
        <v>11</v>
      </c>
      <c r="K167" s="11" t="s">
        <v>9</v>
      </c>
      <c r="L167" s="11" t="s">
        <v>10</v>
      </c>
      <c r="M167" s="11" t="s">
        <v>11</v>
      </c>
      <c r="N167" s="11" t="s">
        <v>9</v>
      </c>
      <c r="O167" s="11" t="s">
        <v>10</v>
      </c>
      <c r="P167" s="11" t="s">
        <v>11</v>
      </c>
      <c r="Q167" s="11" t="s">
        <v>9</v>
      </c>
      <c r="R167" s="11" t="s">
        <v>10</v>
      </c>
      <c r="S167" s="11" t="s">
        <v>11</v>
      </c>
      <c r="T167" s="11" t="s">
        <v>9</v>
      </c>
      <c r="U167" s="11" t="s">
        <v>10</v>
      </c>
      <c r="V167" s="11" t="s">
        <v>11</v>
      </c>
      <c r="W167" s="11" t="s">
        <v>9</v>
      </c>
      <c r="X167" s="11" t="s">
        <v>10</v>
      </c>
      <c r="Y167" s="11" t="s">
        <v>11</v>
      </c>
      <c r="Z167" s="11" t="s">
        <v>9</v>
      </c>
      <c r="AA167" s="11" t="s">
        <v>10</v>
      </c>
      <c r="AB167" s="11" t="s">
        <v>11</v>
      </c>
      <c r="AC167" s="11" t="s">
        <v>12</v>
      </c>
      <c r="AD167" s="11" t="s">
        <v>13</v>
      </c>
      <c r="AE167" s="12" t="s">
        <v>11</v>
      </c>
    </row>
    <row r="168" spans="2:31" x14ac:dyDescent="0.5">
      <c r="C168" s="2" t="s">
        <v>55</v>
      </c>
      <c r="D168" s="3">
        <v>42</v>
      </c>
      <c r="E168" s="4">
        <v>77</v>
      </c>
      <c r="F168" s="4">
        <v>54</v>
      </c>
      <c r="G168" s="4">
        <v>1325</v>
      </c>
      <c r="H168" s="4">
        <v>121</v>
      </c>
      <c r="I168" s="4">
        <v>6</v>
      </c>
      <c r="J168" s="4">
        <v>100</v>
      </c>
      <c r="K168" s="4">
        <v>121.5</v>
      </c>
      <c r="L168" s="4">
        <v>38</v>
      </c>
      <c r="M168" s="4">
        <v>691</v>
      </c>
      <c r="N168" s="4">
        <v>65</v>
      </c>
      <c r="O168" s="4">
        <v>27</v>
      </c>
      <c r="P168" s="4">
        <v>570</v>
      </c>
      <c r="Q168" s="4">
        <v>82</v>
      </c>
      <c r="R168" s="4">
        <v>20</v>
      </c>
      <c r="S168" s="4">
        <v>347</v>
      </c>
      <c r="T168" s="4">
        <v>91</v>
      </c>
      <c r="U168" s="4">
        <v>8</v>
      </c>
      <c r="V168" s="4">
        <v>128</v>
      </c>
      <c r="W168" s="4">
        <v>319.5</v>
      </c>
      <c r="X168" s="4">
        <v>27</v>
      </c>
      <c r="Y168" s="4">
        <v>482</v>
      </c>
      <c r="Z168" s="4">
        <v>238</v>
      </c>
      <c r="AA168" s="4">
        <v>20</v>
      </c>
      <c r="AB168" s="4">
        <v>363</v>
      </c>
      <c r="AC168" s="4">
        <v>557.5</v>
      </c>
      <c r="AD168" s="4">
        <v>20</v>
      </c>
      <c r="AE168" s="4">
        <v>390</v>
      </c>
    </row>
    <row r="170" spans="2:31" x14ac:dyDescent="0.5">
      <c r="B170" t="s">
        <v>81</v>
      </c>
      <c r="C170" s="20" t="s">
        <v>73</v>
      </c>
      <c r="D170" s="22" t="s">
        <v>0</v>
      </c>
      <c r="E170" s="14" t="s">
        <v>1</v>
      </c>
      <c r="F170" s="15"/>
      <c r="G170" s="16"/>
      <c r="H170" s="14" t="s">
        <v>2</v>
      </c>
      <c r="I170" s="15"/>
      <c r="J170" s="16"/>
      <c r="K170" s="14" t="s">
        <v>3</v>
      </c>
      <c r="L170" s="15"/>
      <c r="M170" s="16"/>
      <c r="N170" s="14" t="s">
        <v>4</v>
      </c>
      <c r="O170" s="15"/>
      <c r="P170" s="16"/>
      <c r="Q170" s="14" t="s">
        <v>5</v>
      </c>
      <c r="R170" s="15"/>
      <c r="S170" s="16"/>
      <c r="T170" s="14" t="s">
        <v>6</v>
      </c>
      <c r="U170" s="15"/>
      <c r="V170" s="16"/>
      <c r="W170" s="14" t="s">
        <v>7</v>
      </c>
      <c r="X170" s="15"/>
      <c r="Y170" s="16"/>
      <c r="Z170" s="14" t="s">
        <v>8</v>
      </c>
      <c r="AA170" s="15"/>
      <c r="AB170" s="16"/>
      <c r="AC170" s="17" t="s">
        <v>75</v>
      </c>
      <c r="AD170" s="18"/>
      <c r="AE170" s="19"/>
    </row>
    <row r="171" spans="2:31" x14ac:dyDescent="0.5">
      <c r="C171" s="21"/>
      <c r="D171" s="23"/>
      <c r="E171" s="11" t="s">
        <v>9</v>
      </c>
      <c r="F171" s="11" t="s">
        <v>10</v>
      </c>
      <c r="G171" s="11" t="s">
        <v>11</v>
      </c>
      <c r="H171" s="11" t="s">
        <v>9</v>
      </c>
      <c r="I171" s="11" t="s">
        <v>10</v>
      </c>
      <c r="J171" s="11" t="s">
        <v>11</v>
      </c>
      <c r="K171" s="11" t="s">
        <v>9</v>
      </c>
      <c r="L171" s="11" t="s">
        <v>10</v>
      </c>
      <c r="M171" s="11" t="s">
        <v>11</v>
      </c>
      <c r="N171" s="11" t="s">
        <v>9</v>
      </c>
      <c r="O171" s="11" t="s">
        <v>10</v>
      </c>
      <c r="P171" s="11" t="s">
        <v>11</v>
      </c>
      <c r="Q171" s="11" t="s">
        <v>9</v>
      </c>
      <c r="R171" s="11" t="s">
        <v>10</v>
      </c>
      <c r="S171" s="11" t="s">
        <v>11</v>
      </c>
      <c r="T171" s="11" t="s">
        <v>9</v>
      </c>
      <c r="U171" s="11" t="s">
        <v>10</v>
      </c>
      <c r="V171" s="11" t="s">
        <v>11</v>
      </c>
      <c r="W171" s="11" t="s">
        <v>9</v>
      </c>
      <c r="X171" s="11" t="s">
        <v>10</v>
      </c>
      <c r="Y171" s="11" t="s">
        <v>11</v>
      </c>
      <c r="Z171" s="11" t="s">
        <v>9</v>
      </c>
      <c r="AA171" s="11" t="s">
        <v>10</v>
      </c>
      <c r="AB171" s="11" t="s">
        <v>11</v>
      </c>
      <c r="AC171" s="11" t="s">
        <v>12</v>
      </c>
      <c r="AD171" s="11" t="s">
        <v>13</v>
      </c>
      <c r="AE171" s="12" t="s">
        <v>11</v>
      </c>
    </row>
    <row r="172" spans="2:31" x14ac:dyDescent="0.5">
      <c r="C172" s="2" t="s">
        <v>56</v>
      </c>
      <c r="D172" s="3">
        <v>43</v>
      </c>
      <c r="E172" s="4">
        <v>104</v>
      </c>
      <c r="F172" s="4">
        <v>20</v>
      </c>
      <c r="G172" s="4">
        <v>339</v>
      </c>
      <c r="H172" s="4">
        <v>94</v>
      </c>
      <c r="I172" s="4">
        <v>25</v>
      </c>
      <c r="J172" s="4">
        <v>510</v>
      </c>
      <c r="K172" s="4">
        <v>130</v>
      </c>
      <c r="L172" s="4">
        <v>15</v>
      </c>
      <c r="M172" s="4">
        <v>378</v>
      </c>
      <c r="N172" s="4">
        <v>32</v>
      </c>
      <c r="O172" s="4">
        <v>57</v>
      </c>
      <c r="P172" s="4">
        <v>1272</v>
      </c>
      <c r="Q172" s="4">
        <v>76</v>
      </c>
      <c r="R172" s="4">
        <v>32</v>
      </c>
      <c r="S172" s="4">
        <v>534</v>
      </c>
      <c r="T172" s="4">
        <v>87</v>
      </c>
      <c r="U172" s="4">
        <v>16</v>
      </c>
      <c r="V172" s="4">
        <v>268</v>
      </c>
      <c r="W172" s="4">
        <v>328</v>
      </c>
      <c r="X172" s="4">
        <v>23</v>
      </c>
      <c r="Y172" s="4">
        <v>371</v>
      </c>
      <c r="Z172" s="4">
        <v>195</v>
      </c>
      <c r="AA172" s="4">
        <v>43</v>
      </c>
      <c r="AB172" s="4">
        <v>796</v>
      </c>
      <c r="AC172" s="4">
        <v>523</v>
      </c>
      <c r="AD172" s="4">
        <v>34</v>
      </c>
      <c r="AE172" s="4">
        <v>600</v>
      </c>
    </row>
    <row r="174" spans="2:31" x14ac:dyDescent="0.5">
      <c r="B174" t="s">
        <v>81</v>
      </c>
      <c r="C174" s="20" t="s">
        <v>73</v>
      </c>
      <c r="D174" s="22" t="s">
        <v>0</v>
      </c>
      <c r="E174" s="14" t="s">
        <v>1</v>
      </c>
      <c r="F174" s="15"/>
      <c r="G174" s="16"/>
      <c r="H174" s="14" t="s">
        <v>2</v>
      </c>
      <c r="I174" s="15"/>
      <c r="J174" s="16"/>
      <c r="K174" s="14" t="s">
        <v>3</v>
      </c>
      <c r="L174" s="15"/>
      <c r="M174" s="16"/>
      <c r="N174" s="14" t="s">
        <v>4</v>
      </c>
      <c r="O174" s="15"/>
      <c r="P174" s="16"/>
      <c r="Q174" s="14" t="s">
        <v>5</v>
      </c>
      <c r="R174" s="15"/>
      <c r="S174" s="16"/>
      <c r="T174" s="14" t="s">
        <v>6</v>
      </c>
      <c r="U174" s="15"/>
      <c r="V174" s="16"/>
      <c r="W174" s="14" t="s">
        <v>7</v>
      </c>
      <c r="X174" s="15"/>
      <c r="Y174" s="16"/>
      <c r="Z174" s="14" t="s">
        <v>8</v>
      </c>
      <c r="AA174" s="15"/>
      <c r="AB174" s="16"/>
      <c r="AC174" s="17" t="s">
        <v>75</v>
      </c>
      <c r="AD174" s="18"/>
      <c r="AE174" s="19"/>
    </row>
    <row r="175" spans="2:31" x14ac:dyDescent="0.5">
      <c r="C175" s="21"/>
      <c r="D175" s="23"/>
      <c r="E175" s="11" t="s">
        <v>9</v>
      </c>
      <c r="F175" s="11" t="s">
        <v>10</v>
      </c>
      <c r="G175" s="11" t="s">
        <v>11</v>
      </c>
      <c r="H175" s="11" t="s">
        <v>9</v>
      </c>
      <c r="I175" s="11" t="s">
        <v>10</v>
      </c>
      <c r="J175" s="11" t="s">
        <v>11</v>
      </c>
      <c r="K175" s="11" t="s">
        <v>9</v>
      </c>
      <c r="L175" s="11" t="s">
        <v>10</v>
      </c>
      <c r="M175" s="11" t="s">
        <v>11</v>
      </c>
      <c r="N175" s="11" t="s">
        <v>9</v>
      </c>
      <c r="O175" s="11" t="s">
        <v>10</v>
      </c>
      <c r="P175" s="11" t="s">
        <v>11</v>
      </c>
      <c r="Q175" s="11" t="s">
        <v>9</v>
      </c>
      <c r="R175" s="11" t="s">
        <v>10</v>
      </c>
      <c r="S175" s="11" t="s">
        <v>11</v>
      </c>
      <c r="T175" s="11" t="s">
        <v>9</v>
      </c>
      <c r="U175" s="11" t="s">
        <v>10</v>
      </c>
      <c r="V175" s="11" t="s">
        <v>11</v>
      </c>
      <c r="W175" s="11" t="s">
        <v>9</v>
      </c>
      <c r="X175" s="11" t="s">
        <v>10</v>
      </c>
      <c r="Y175" s="11" t="s">
        <v>11</v>
      </c>
      <c r="Z175" s="11" t="s">
        <v>9</v>
      </c>
      <c r="AA175" s="11" t="s">
        <v>10</v>
      </c>
      <c r="AB175" s="11" t="s">
        <v>11</v>
      </c>
      <c r="AC175" s="11" t="s">
        <v>12</v>
      </c>
      <c r="AD175" s="11" t="s">
        <v>13</v>
      </c>
      <c r="AE175" s="12" t="s">
        <v>11</v>
      </c>
    </row>
    <row r="176" spans="2:31" x14ac:dyDescent="0.5">
      <c r="C176" s="2" t="s">
        <v>57</v>
      </c>
      <c r="D176" s="3">
        <v>44</v>
      </c>
      <c r="E176" s="4">
        <v>114</v>
      </c>
      <c r="F176" s="4">
        <v>2</v>
      </c>
      <c r="G176" s="4">
        <v>61</v>
      </c>
      <c r="H176" s="4">
        <v>133</v>
      </c>
      <c r="I176" s="4">
        <v>1</v>
      </c>
      <c r="J176" s="4">
        <v>28</v>
      </c>
      <c r="K176" s="4">
        <v>141</v>
      </c>
      <c r="L176" s="4">
        <v>1</v>
      </c>
      <c r="M176" s="4">
        <v>49</v>
      </c>
      <c r="N176" s="4">
        <v>101</v>
      </c>
      <c r="O176" s="4">
        <v>3</v>
      </c>
      <c r="P176" s="4">
        <v>34</v>
      </c>
      <c r="Q176" s="4">
        <v>90</v>
      </c>
      <c r="R176" s="4">
        <v>6</v>
      </c>
      <c r="S176" s="4">
        <v>98</v>
      </c>
      <c r="T176" s="4">
        <v>90</v>
      </c>
      <c r="U176" s="4">
        <v>11</v>
      </c>
      <c r="V176" s="4">
        <v>161</v>
      </c>
      <c r="W176" s="4">
        <v>388</v>
      </c>
      <c r="X176" s="4">
        <v>1</v>
      </c>
      <c r="Y176" s="4">
        <v>14</v>
      </c>
      <c r="Z176" s="4">
        <v>281</v>
      </c>
      <c r="AA176" s="4">
        <v>4</v>
      </c>
      <c r="AB176" s="4">
        <v>45</v>
      </c>
      <c r="AC176" s="4">
        <v>669</v>
      </c>
      <c r="AD176" s="4">
        <v>1</v>
      </c>
      <c r="AE176" s="4">
        <v>16</v>
      </c>
    </row>
    <row r="178" spans="2:31" x14ac:dyDescent="0.5">
      <c r="B178" t="s">
        <v>81</v>
      </c>
      <c r="C178" s="20" t="s">
        <v>73</v>
      </c>
      <c r="D178" s="22" t="s">
        <v>0</v>
      </c>
      <c r="E178" s="14" t="s">
        <v>1</v>
      </c>
      <c r="F178" s="15"/>
      <c r="G178" s="16"/>
      <c r="H178" s="14" t="s">
        <v>2</v>
      </c>
      <c r="I178" s="15"/>
      <c r="J178" s="16"/>
      <c r="K178" s="14" t="s">
        <v>3</v>
      </c>
      <c r="L178" s="15"/>
      <c r="M178" s="16"/>
      <c r="N178" s="14" t="s">
        <v>4</v>
      </c>
      <c r="O178" s="15"/>
      <c r="P178" s="16"/>
      <c r="Q178" s="14" t="s">
        <v>5</v>
      </c>
      <c r="R178" s="15"/>
      <c r="S178" s="16"/>
      <c r="T178" s="14" t="s">
        <v>6</v>
      </c>
      <c r="U178" s="15"/>
      <c r="V178" s="16"/>
      <c r="W178" s="14" t="s">
        <v>7</v>
      </c>
      <c r="X178" s="15"/>
      <c r="Y178" s="16"/>
      <c r="Z178" s="14" t="s">
        <v>8</v>
      </c>
      <c r="AA178" s="15"/>
      <c r="AB178" s="16"/>
      <c r="AC178" s="17" t="s">
        <v>75</v>
      </c>
      <c r="AD178" s="18"/>
      <c r="AE178" s="19"/>
    </row>
    <row r="179" spans="2:31" x14ac:dyDescent="0.5">
      <c r="C179" s="21"/>
      <c r="D179" s="23"/>
      <c r="E179" s="11" t="s">
        <v>9</v>
      </c>
      <c r="F179" s="11" t="s">
        <v>10</v>
      </c>
      <c r="G179" s="11" t="s">
        <v>11</v>
      </c>
      <c r="H179" s="11" t="s">
        <v>9</v>
      </c>
      <c r="I179" s="11" t="s">
        <v>10</v>
      </c>
      <c r="J179" s="11" t="s">
        <v>11</v>
      </c>
      <c r="K179" s="11" t="s">
        <v>9</v>
      </c>
      <c r="L179" s="11" t="s">
        <v>10</v>
      </c>
      <c r="M179" s="11" t="s">
        <v>11</v>
      </c>
      <c r="N179" s="11" t="s">
        <v>9</v>
      </c>
      <c r="O179" s="11" t="s">
        <v>10</v>
      </c>
      <c r="P179" s="11" t="s">
        <v>11</v>
      </c>
      <c r="Q179" s="11" t="s">
        <v>9</v>
      </c>
      <c r="R179" s="11" t="s">
        <v>10</v>
      </c>
      <c r="S179" s="11" t="s">
        <v>11</v>
      </c>
      <c r="T179" s="11" t="s">
        <v>9</v>
      </c>
      <c r="U179" s="11" t="s">
        <v>10</v>
      </c>
      <c r="V179" s="11" t="s">
        <v>11</v>
      </c>
      <c r="W179" s="11" t="s">
        <v>9</v>
      </c>
      <c r="X179" s="11" t="s">
        <v>10</v>
      </c>
      <c r="Y179" s="11" t="s">
        <v>11</v>
      </c>
      <c r="Z179" s="11" t="s">
        <v>9</v>
      </c>
      <c r="AA179" s="11" t="s">
        <v>10</v>
      </c>
      <c r="AB179" s="11" t="s">
        <v>11</v>
      </c>
      <c r="AC179" s="11" t="s">
        <v>12</v>
      </c>
      <c r="AD179" s="11" t="s">
        <v>13</v>
      </c>
      <c r="AE179" s="12" t="s">
        <v>11</v>
      </c>
    </row>
    <row r="180" spans="2:31" x14ac:dyDescent="0.5">
      <c r="C180" s="2" t="s">
        <v>58</v>
      </c>
      <c r="D180" s="3">
        <v>45</v>
      </c>
      <c r="E180" s="4">
        <v>93</v>
      </c>
      <c r="F180" s="4">
        <v>39</v>
      </c>
      <c r="G180" s="4">
        <v>824</v>
      </c>
      <c r="H180" s="4">
        <v>112</v>
      </c>
      <c r="I180" s="4">
        <v>8</v>
      </c>
      <c r="J180" s="4">
        <v>181</v>
      </c>
      <c r="K180" s="4">
        <v>138</v>
      </c>
      <c r="L180" s="4">
        <v>6</v>
      </c>
      <c r="M180" s="4">
        <v>114</v>
      </c>
      <c r="N180" s="4">
        <v>72</v>
      </c>
      <c r="O180" s="4">
        <v>23</v>
      </c>
      <c r="P180" s="4">
        <v>427</v>
      </c>
      <c r="Q180" s="4">
        <v>82</v>
      </c>
      <c r="R180" s="4">
        <v>20</v>
      </c>
      <c r="S180" s="4">
        <v>347</v>
      </c>
      <c r="T180" s="4">
        <v>82</v>
      </c>
      <c r="U180" s="4">
        <v>30</v>
      </c>
      <c r="V180" s="4">
        <v>444</v>
      </c>
      <c r="W180" s="4">
        <v>343</v>
      </c>
      <c r="X180" s="4">
        <v>6</v>
      </c>
      <c r="Y180" s="4">
        <v>202</v>
      </c>
      <c r="Z180" s="4">
        <v>236</v>
      </c>
      <c r="AA180" s="4">
        <v>21</v>
      </c>
      <c r="AB180" s="4">
        <v>389</v>
      </c>
      <c r="AC180" s="4">
        <v>579</v>
      </c>
      <c r="AD180" s="4">
        <v>17</v>
      </c>
      <c r="AE180" s="4">
        <v>285</v>
      </c>
    </row>
    <row r="182" spans="2:31" x14ac:dyDescent="0.5">
      <c r="B182" t="s">
        <v>81</v>
      </c>
      <c r="C182" s="20" t="s">
        <v>73</v>
      </c>
      <c r="D182" s="22" t="s">
        <v>0</v>
      </c>
      <c r="E182" s="14" t="s">
        <v>1</v>
      </c>
      <c r="F182" s="15"/>
      <c r="G182" s="16"/>
      <c r="H182" s="14" t="s">
        <v>2</v>
      </c>
      <c r="I182" s="15"/>
      <c r="J182" s="16"/>
      <c r="K182" s="14" t="s">
        <v>3</v>
      </c>
      <c r="L182" s="15"/>
      <c r="M182" s="16"/>
      <c r="N182" s="14" t="s">
        <v>4</v>
      </c>
      <c r="O182" s="15"/>
      <c r="P182" s="16"/>
      <c r="Q182" s="14" t="s">
        <v>5</v>
      </c>
      <c r="R182" s="15"/>
      <c r="S182" s="16"/>
      <c r="T182" s="14" t="s">
        <v>6</v>
      </c>
      <c r="U182" s="15"/>
      <c r="V182" s="16"/>
      <c r="W182" s="14" t="s">
        <v>7</v>
      </c>
      <c r="X182" s="15"/>
      <c r="Y182" s="16"/>
      <c r="Z182" s="14" t="s">
        <v>8</v>
      </c>
      <c r="AA182" s="15"/>
      <c r="AB182" s="16"/>
      <c r="AC182" s="17" t="s">
        <v>75</v>
      </c>
      <c r="AD182" s="18"/>
      <c r="AE182" s="19"/>
    </row>
    <row r="183" spans="2:31" x14ac:dyDescent="0.5">
      <c r="C183" s="21"/>
      <c r="D183" s="23"/>
      <c r="E183" s="11" t="s">
        <v>9</v>
      </c>
      <c r="F183" s="11" t="s">
        <v>10</v>
      </c>
      <c r="G183" s="11" t="s">
        <v>11</v>
      </c>
      <c r="H183" s="11" t="s">
        <v>9</v>
      </c>
      <c r="I183" s="11" t="s">
        <v>10</v>
      </c>
      <c r="J183" s="11" t="s">
        <v>11</v>
      </c>
      <c r="K183" s="11" t="s">
        <v>9</v>
      </c>
      <c r="L183" s="11" t="s">
        <v>10</v>
      </c>
      <c r="M183" s="11" t="s">
        <v>11</v>
      </c>
      <c r="N183" s="11" t="s">
        <v>9</v>
      </c>
      <c r="O183" s="11" t="s">
        <v>10</v>
      </c>
      <c r="P183" s="11" t="s">
        <v>11</v>
      </c>
      <c r="Q183" s="11" t="s">
        <v>9</v>
      </c>
      <c r="R183" s="11" t="s">
        <v>10</v>
      </c>
      <c r="S183" s="11" t="s">
        <v>11</v>
      </c>
      <c r="T183" s="11" t="s">
        <v>9</v>
      </c>
      <c r="U183" s="11" t="s">
        <v>10</v>
      </c>
      <c r="V183" s="11" t="s">
        <v>11</v>
      </c>
      <c r="W183" s="11" t="s">
        <v>9</v>
      </c>
      <c r="X183" s="11" t="s">
        <v>10</v>
      </c>
      <c r="Y183" s="11" t="s">
        <v>11</v>
      </c>
      <c r="Z183" s="11" t="s">
        <v>9</v>
      </c>
      <c r="AA183" s="11" t="s">
        <v>10</v>
      </c>
      <c r="AB183" s="11" t="s">
        <v>11</v>
      </c>
      <c r="AC183" s="11" t="s">
        <v>12</v>
      </c>
      <c r="AD183" s="11" t="s">
        <v>13</v>
      </c>
      <c r="AE183" s="12" t="s">
        <v>11</v>
      </c>
    </row>
    <row r="184" spans="2:31" x14ac:dyDescent="0.5">
      <c r="C184" s="2" t="s">
        <v>59</v>
      </c>
      <c r="D184" s="3">
        <v>46</v>
      </c>
      <c r="E184" s="4">
        <v>91</v>
      </c>
      <c r="F184" s="4">
        <v>43</v>
      </c>
      <c r="G184" s="4">
        <v>914</v>
      </c>
      <c r="H184" s="4">
        <v>80</v>
      </c>
      <c r="I184" s="4">
        <v>40</v>
      </c>
      <c r="J184" s="4">
        <v>800</v>
      </c>
      <c r="K184" s="4">
        <v>107.5</v>
      </c>
      <c r="L184" s="4">
        <v>53</v>
      </c>
      <c r="M184" s="4">
        <v>1126</v>
      </c>
      <c r="N184" s="4">
        <v>51</v>
      </c>
      <c r="O184" s="4">
        <v>40</v>
      </c>
      <c r="P184" s="4">
        <v>883</v>
      </c>
      <c r="Q184" s="4">
        <v>64</v>
      </c>
      <c r="R184" s="4">
        <v>48</v>
      </c>
      <c r="S184" s="4">
        <v>928</v>
      </c>
      <c r="T184" s="4">
        <v>61</v>
      </c>
      <c r="U184" s="4">
        <v>55</v>
      </c>
      <c r="V184" s="4">
        <v>1059</v>
      </c>
      <c r="W184" s="4">
        <v>278.5</v>
      </c>
      <c r="X184" s="4">
        <v>49</v>
      </c>
      <c r="Y184" s="4">
        <v>981</v>
      </c>
      <c r="Z184" s="4">
        <v>176</v>
      </c>
      <c r="AA184" s="4">
        <v>51</v>
      </c>
      <c r="AB184" s="4">
        <v>975</v>
      </c>
      <c r="AC184" s="4">
        <v>454.5</v>
      </c>
      <c r="AD184" s="4">
        <v>49</v>
      </c>
      <c r="AE184" s="4">
        <v>992</v>
      </c>
    </row>
    <row r="186" spans="2:31" x14ac:dyDescent="0.5">
      <c r="B186" t="s">
        <v>81</v>
      </c>
      <c r="C186" s="20" t="s">
        <v>73</v>
      </c>
      <c r="D186" s="22" t="s">
        <v>0</v>
      </c>
      <c r="E186" s="14" t="s">
        <v>1</v>
      </c>
      <c r="F186" s="15"/>
      <c r="G186" s="16"/>
      <c r="H186" s="14" t="s">
        <v>2</v>
      </c>
      <c r="I186" s="15"/>
      <c r="J186" s="16"/>
      <c r="K186" s="14" t="s">
        <v>3</v>
      </c>
      <c r="L186" s="15"/>
      <c r="M186" s="16"/>
      <c r="N186" s="14" t="s">
        <v>4</v>
      </c>
      <c r="O186" s="15"/>
      <c r="P186" s="16"/>
      <c r="Q186" s="14" t="s">
        <v>5</v>
      </c>
      <c r="R186" s="15"/>
      <c r="S186" s="16"/>
      <c r="T186" s="14" t="s">
        <v>6</v>
      </c>
      <c r="U186" s="15"/>
      <c r="V186" s="16"/>
      <c r="W186" s="14" t="s">
        <v>7</v>
      </c>
      <c r="X186" s="15"/>
      <c r="Y186" s="16"/>
      <c r="Z186" s="14" t="s">
        <v>8</v>
      </c>
      <c r="AA186" s="15"/>
      <c r="AB186" s="16"/>
      <c r="AC186" s="17" t="s">
        <v>75</v>
      </c>
      <c r="AD186" s="18"/>
      <c r="AE186" s="19"/>
    </row>
    <row r="187" spans="2:31" x14ac:dyDescent="0.5">
      <c r="C187" s="21"/>
      <c r="D187" s="23"/>
      <c r="E187" s="11" t="s">
        <v>9</v>
      </c>
      <c r="F187" s="11" t="s">
        <v>10</v>
      </c>
      <c r="G187" s="11" t="s">
        <v>11</v>
      </c>
      <c r="H187" s="11" t="s">
        <v>9</v>
      </c>
      <c r="I187" s="11" t="s">
        <v>10</v>
      </c>
      <c r="J187" s="11" t="s">
        <v>11</v>
      </c>
      <c r="K187" s="11" t="s">
        <v>9</v>
      </c>
      <c r="L187" s="11" t="s">
        <v>10</v>
      </c>
      <c r="M187" s="11" t="s">
        <v>11</v>
      </c>
      <c r="N187" s="11" t="s">
        <v>9</v>
      </c>
      <c r="O187" s="11" t="s">
        <v>10</v>
      </c>
      <c r="P187" s="11" t="s">
        <v>11</v>
      </c>
      <c r="Q187" s="11" t="s">
        <v>9</v>
      </c>
      <c r="R187" s="11" t="s">
        <v>10</v>
      </c>
      <c r="S187" s="11" t="s">
        <v>11</v>
      </c>
      <c r="T187" s="11" t="s">
        <v>9</v>
      </c>
      <c r="U187" s="11" t="s">
        <v>10</v>
      </c>
      <c r="V187" s="11" t="s">
        <v>11</v>
      </c>
      <c r="W187" s="11" t="s">
        <v>9</v>
      </c>
      <c r="X187" s="11" t="s">
        <v>10</v>
      </c>
      <c r="Y187" s="11" t="s">
        <v>11</v>
      </c>
      <c r="Z187" s="11" t="s">
        <v>9</v>
      </c>
      <c r="AA187" s="11" t="s">
        <v>10</v>
      </c>
      <c r="AB187" s="11" t="s">
        <v>11</v>
      </c>
      <c r="AC187" s="11" t="s">
        <v>12</v>
      </c>
      <c r="AD187" s="11" t="s">
        <v>13</v>
      </c>
      <c r="AE187" s="12" t="s">
        <v>11</v>
      </c>
    </row>
    <row r="188" spans="2:31" x14ac:dyDescent="0.5">
      <c r="C188" s="2" t="s">
        <v>60</v>
      </c>
      <c r="D188" s="3">
        <v>47</v>
      </c>
      <c r="E188" s="4">
        <v>96</v>
      </c>
      <c r="F188" s="4">
        <v>33</v>
      </c>
      <c r="G188" s="4">
        <v>696</v>
      </c>
      <c r="H188" s="4">
        <v>83</v>
      </c>
      <c r="I188" s="4">
        <v>37</v>
      </c>
      <c r="J188" s="4">
        <v>740</v>
      </c>
      <c r="K188" s="4">
        <v>128.5</v>
      </c>
      <c r="L188" s="4">
        <v>21</v>
      </c>
      <c r="M188" s="4">
        <v>441</v>
      </c>
      <c r="N188" s="4">
        <v>53</v>
      </c>
      <c r="O188" s="4">
        <v>37</v>
      </c>
      <c r="P188" s="4">
        <v>843</v>
      </c>
      <c r="Q188" s="4">
        <v>59</v>
      </c>
      <c r="R188" s="4">
        <v>53</v>
      </c>
      <c r="S188" s="4">
        <v>1061</v>
      </c>
      <c r="T188" s="4">
        <v>65</v>
      </c>
      <c r="U188" s="4">
        <v>53</v>
      </c>
      <c r="V188" s="4">
        <v>962</v>
      </c>
      <c r="W188" s="4">
        <v>307.5</v>
      </c>
      <c r="X188" s="4">
        <v>34</v>
      </c>
      <c r="Y188" s="4">
        <v>621</v>
      </c>
      <c r="Z188" s="4">
        <v>177</v>
      </c>
      <c r="AA188" s="4">
        <v>49</v>
      </c>
      <c r="AB188" s="4">
        <v>968</v>
      </c>
      <c r="AC188" s="4">
        <v>484.5</v>
      </c>
      <c r="AD188" s="4">
        <v>43</v>
      </c>
      <c r="AE188" s="4">
        <v>826</v>
      </c>
    </row>
    <row r="190" spans="2:31" x14ac:dyDescent="0.5">
      <c r="B190" t="s">
        <v>81</v>
      </c>
      <c r="C190" s="20" t="s">
        <v>73</v>
      </c>
      <c r="D190" s="22" t="s">
        <v>0</v>
      </c>
      <c r="E190" s="14" t="s">
        <v>1</v>
      </c>
      <c r="F190" s="15"/>
      <c r="G190" s="16"/>
      <c r="H190" s="14" t="s">
        <v>2</v>
      </c>
      <c r="I190" s="15"/>
      <c r="J190" s="16"/>
      <c r="K190" s="14" t="s">
        <v>3</v>
      </c>
      <c r="L190" s="15"/>
      <c r="M190" s="16"/>
      <c r="N190" s="14" t="s">
        <v>4</v>
      </c>
      <c r="O190" s="15"/>
      <c r="P190" s="16"/>
      <c r="Q190" s="14" t="s">
        <v>5</v>
      </c>
      <c r="R190" s="15"/>
      <c r="S190" s="16"/>
      <c r="T190" s="14" t="s">
        <v>6</v>
      </c>
      <c r="U190" s="15"/>
      <c r="V190" s="16"/>
      <c r="W190" s="14" t="s">
        <v>7</v>
      </c>
      <c r="X190" s="15"/>
      <c r="Y190" s="16"/>
      <c r="Z190" s="14" t="s">
        <v>8</v>
      </c>
      <c r="AA190" s="15"/>
      <c r="AB190" s="16"/>
      <c r="AC190" s="17" t="s">
        <v>75</v>
      </c>
      <c r="AD190" s="18"/>
      <c r="AE190" s="19"/>
    </row>
    <row r="191" spans="2:31" x14ac:dyDescent="0.5">
      <c r="C191" s="21"/>
      <c r="D191" s="23"/>
      <c r="E191" s="11" t="s">
        <v>9</v>
      </c>
      <c r="F191" s="11" t="s">
        <v>10</v>
      </c>
      <c r="G191" s="11" t="s">
        <v>11</v>
      </c>
      <c r="H191" s="11" t="s">
        <v>9</v>
      </c>
      <c r="I191" s="11" t="s">
        <v>10</v>
      </c>
      <c r="J191" s="11" t="s">
        <v>11</v>
      </c>
      <c r="K191" s="11" t="s">
        <v>9</v>
      </c>
      <c r="L191" s="11" t="s">
        <v>10</v>
      </c>
      <c r="M191" s="11" t="s">
        <v>11</v>
      </c>
      <c r="N191" s="11" t="s">
        <v>9</v>
      </c>
      <c r="O191" s="11" t="s">
        <v>10</v>
      </c>
      <c r="P191" s="11" t="s">
        <v>11</v>
      </c>
      <c r="Q191" s="11" t="s">
        <v>9</v>
      </c>
      <c r="R191" s="11" t="s">
        <v>10</v>
      </c>
      <c r="S191" s="11" t="s">
        <v>11</v>
      </c>
      <c r="T191" s="11" t="s">
        <v>9</v>
      </c>
      <c r="U191" s="11" t="s">
        <v>10</v>
      </c>
      <c r="V191" s="11" t="s">
        <v>11</v>
      </c>
      <c r="W191" s="11" t="s">
        <v>9</v>
      </c>
      <c r="X191" s="11" t="s">
        <v>10</v>
      </c>
      <c r="Y191" s="11" t="s">
        <v>11</v>
      </c>
      <c r="Z191" s="11" t="s">
        <v>9</v>
      </c>
      <c r="AA191" s="11" t="s">
        <v>10</v>
      </c>
      <c r="AB191" s="11" t="s">
        <v>11</v>
      </c>
      <c r="AC191" s="11" t="s">
        <v>12</v>
      </c>
      <c r="AD191" s="11" t="s">
        <v>13</v>
      </c>
      <c r="AE191" s="12" t="s">
        <v>11</v>
      </c>
    </row>
    <row r="192" spans="2:31" x14ac:dyDescent="0.5">
      <c r="C192" s="2" t="s">
        <v>61</v>
      </c>
      <c r="D192" s="3">
        <v>48</v>
      </c>
      <c r="E192" s="4">
        <v>111</v>
      </c>
      <c r="F192" s="4">
        <v>7</v>
      </c>
      <c r="G192" s="4">
        <v>131</v>
      </c>
      <c r="H192" s="4">
        <v>54</v>
      </c>
      <c r="I192" s="4">
        <v>55</v>
      </c>
      <c r="J192" s="4">
        <v>1268</v>
      </c>
      <c r="K192" s="4">
        <v>105</v>
      </c>
      <c r="L192" s="4">
        <v>55</v>
      </c>
      <c r="M192" s="4">
        <v>1172</v>
      </c>
      <c r="N192" s="4">
        <v>43</v>
      </c>
      <c r="O192" s="4">
        <v>49</v>
      </c>
      <c r="P192" s="4">
        <v>1046</v>
      </c>
      <c r="Q192" s="4">
        <v>77</v>
      </c>
      <c r="R192" s="4">
        <v>30</v>
      </c>
      <c r="S192" s="4">
        <v>518</v>
      </c>
      <c r="T192" s="4">
        <v>83</v>
      </c>
      <c r="U192" s="4">
        <v>26</v>
      </c>
      <c r="V192" s="4">
        <v>407</v>
      </c>
      <c r="W192" s="4">
        <v>270</v>
      </c>
      <c r="X192" s="4">
        <v>52</v>
      </c>
      <c r="Y192" s="4">
        <v>1061</v>
      </c>
      <c r="Z192" s="4">
        <v>203</v>
      </c>
      <c r="AA192" s="4">
        <v>39</v>
      </c>
      <c r="AB192" s="4">
        <v>703</v>
      </c>
      <c r="AC192" s="4">
        <v>473</v>
      </c>
      <c r="AD192" s="4">
        <v>46</v>
      </c>
      <c r="AE192" s="4">
        <v>891</v>
      </c>
    </row>
    <row r="194" spans="2:31" x14ac:dyDescent="0.5">
      <c r="B194" t="s">
        <v>81</v>
      </c>
      <c r="C194" s="20" t="s">
        <v>73</v>
      </c>
      <c r="D194" s="22" t="s">
        <v>0</v>
      </c>
      <c r="E194" s="14" t="s">
        <v>1</v>
      </c>
      <c r="F194" s="15"/>
      <c r="G194" s="16"/>
      <c r="H194" s="14" t="s">
        <v>2</v>
      </c>
      <c r="I194" s="15"/>
      <c r="J194" s="16"/>
      <c r="K194" s="14" t="s">
        <v>3</v>
      </c>
      <c r="L194" s="15"/>
      <c r="M194" s="16"/>
      <c r="N194" s="14" t="s">
        <v>4</v>
      </c>
      <c r="O194" s="15"/>
      <c r="P194" s="16"/>
      <c r="Q194" s="14" t="s">
        <v>5</v>
      </c>
      <c r="R194" s="15"/>
      <c r="S194" s="16"/>
      <c r="T194" s="14" t="s">
        <v>6</v>
      </c>
      <c r="U194" s="15"/>
      <c r="V194" s="16"/>
      <c r="W194" s="14" t="s">
        <v>7</v>
      </c>
      <c r="X194" s="15"/>
      <c r="Y194" s="16"/>
      <c r="Z194" s="14" t="s">
        <v>8</v>
      </c>
      <c r="AA194" s="15"/>
      <c r="AB194" s="16"/>
      <c r="AC194" s="17" t="s">
        <v>75</v>
      </c>
      <c r="AD194" s="18"/>
      <c r="AE194" s="19"/>
    </row>
    <row r="195" spans="2:31" x14ac:dyDescent="0.5">
      <c r="C195" s="21"/>
      <c r="D195" s="23"/>
      <c r="E195" s="11" t="s">
        <v>9</v>
      </c>
      <c r="F195" s="11" t="s">
        <v>10</v>
      </c>
      <c r="G195" s="11" t="s">
        <v>11</v>
      </c>
      <c r="H195" s="11" t="s">
        <v>9</v>
      </c>
      <c r="I195" s="11" t="s">
        <v>10</v>
      </c>
      <c r="J195" s="11" t="s">
        <v>11</v>
      </c>
      <c r="K195" s="11" t="s">
        <v>9</v>
      </c>
      <c r="L195" s="11" t="s">
        <v>10</v>
      </c>
      <c r="M195" s="11" t="s">
        <v>11</v>
      </c>
      <c r="N195" s="11" t="s">
        <v>9</v>
      </c>
      <c r="O195" s="11" t="s">
        <v>10</v>
      </c>
      <c r="P195" s="11" t="s">
        <v>11</v>
      </c>
      <c r="Q195" s="11" t="s">
        <v>9</v>
      </c>
      <c r="R195" s="11" t="s">
        <v>10</v>
      </c>
      <c r="S195" s="11" t="s">
        <v>11</v>
      </c>
      <c r="T195" s="11" t="s">
        <v>9</v>
      </c>
      <c r="U195" s="11" t="s">
        <v>10</v>
      </c>
      <c r="V195" s="11" t="s">
        <v>11</v>
      </c>
      <c r="W195" s="11" t="s">
        <v>9</v>
      </c>
      <c r="X195" s="11" t="s">
        <v>10</v>
      </c>
      <c r="Y195" s="11" t="s">
        <v>11</v>
      </c>
      <c r="Z195" s="11" t="s">
        <v>9</v>
      </c>
      <c r="AA195" s="11" t="s">
        <v>10</v>
      </c>
      <c r="AB195" s="11" t="s">
        <v>11</v>
      </c>
      <c r="AC195" s="11" t="s">
        <v>12</v>
      </c>
      <c r="AD195" s="11" t="s">
        <v>13</v>
      </c>
      <c r="AE195" s="12" t="s">
        <v>11</v>
      </c>
    </row>
    <row r="196" spans="2:31" x14ac:dyDescent="0.5">
      <c r="C196" s="2" t="s">
        <v>62</v>
      </c>
      <c r="D196" s="3">
        <v>49</v>
      </c>
      <c r="E196" s="4">
        <v>110</v>
      </c>
      <c r="F196" s="4">
        <v>8</v>
      </c>
      <c r="G196" s="4">
        <v>151</v>
      </c>
      <c r="H196" s="4">
        <v>108</v>
      </c>
      <c r="I196" s="4">
        <v>13</v>
      </c>
      <c r="J196" s="4">
        <v>244</v>
      </c>
      <c r="K196" s="4">
        <v>117</v>
      </c>
      <c r="L196" s="4">
        <v>42</v>
      </c>
      <c r="M196" s="4">
        <v>847</v>
      </c>
      <c r="N196" s="4">
        <v>85</v>
      </c>
      <c r="O196" s="4">
        <v>10</v>
      </c>
      <c r="P196" s="4">
        <v>189</v>
      </c>
      <c r="Q196" s="4">
        <v>88</v>
      </c>
      <c r="R196" s="4">
        <v>9</v>
      </c>
      <c r="S196" s="4">
        <v>158</v>
      </c>
      <c r="T196" s="4">
        <v>89</v>
      </c>
      <c r="U196" s="4">
        <v>13</v>
      </c>
      <c r="V196" s="4">
        <v>191</v>
      </c>
      <c r="W196" s="4">
        <v>335</v>
      </c>
      <c r="X196" s="4">
        <v>14</v>
      </c>
      <c r="Y196" s="4">
        <v>295</v>
      </c>
      <c r="Z196" s="4">
        <v>262</v>
      </c>
      <c r="AA196" s="4">
        <v>11</v>
      </c>
      <c r="AB196" s="4">
        <v>154</v>
      </c>
      <c r="AC196" s="4">
        <v>597</v>
      </c>
      <c r="AD196" s="4">
        <v>10</v>
      </c>
      <c r="AE196" s="4">
        <v>191</v>
      </c>
    </row>
    <row r="198" spans="2:31" x14ac:dyDescent="0.5">
      <c r="B198" t="s">
        <v>81</v>
      </c>
      <c r="C198" s="20" t="s">
        <v>73</v>
      </c>
      <c r="D198" s="22" t="s">
        <v>0</v>
      </c>
      <c r="E198" s="14" t="s">
        <v>1</v>
      </c>
      <c r="F198" s="15"/>
      <c r="G198" s="16"/>
      <c r="H198" s="14" t="s">
        <v>2</v>
      </c>
      <c r="I198" s="15"/>
      <c r="J198" s="16"/>
      <c r="K198" s="14" t="s">
        <v>3</v>
      </c>
      <c r="L198" s="15"/>
      <c r="M198" s="16"/>
      <c r="N198" s="14" t="s">
        <v>4</v>
      </c>
      <c r="O198" s="15"/>
      <c r="P198" s="16"/>
      <c r="Q198" s="14" t="s">
        <v>5</v>
      </c>
      <c r="R198" s="15"/>
      <c r="S198" s="16"/>
      <c r="T198" s="14" t="s">
        <v>6</v>
      </c>
      <c r="U198" s="15"/>
      <c r="V198" s="16"/>
      <c r="W198" s="14" t="s">
        <v>7</v>
      </c>
      <c r="X198" s="15"/>
      <c r="Y198" s="16"/>
      <c r="Z198" s="14" t="s">
        <v>8</v>
      </c>
      <c r="AA198" s="15"/>
      <c r="AB198" s="16"/>
      <c r="AC198" s="17" t="s">
        <v>75</v>
      </c>
      <c r="AD198" s="18"/>
      <c r="AE198" s="19"/>
    </row>
    <row r="199" spans="2:31" x14ac:dyDescent="0.5">
      <c r="C199" s="21"/>
      <c r="D199" s="23"/>
      <c r="E199" s="11" t="s">
        <v>9</v>
      </c>
      <c r="F199" s="11" t="s">
        <v>10</v>
      </c>
      <c r="G199" s="11" t="s">
        <v>11</v>
      </c>
      <c r="H199" s="11" t="s">
        <v>9</v>
      </c>
      <c r="I199" s="11" t="s">
        <v>10</v>
      </c>
      <c r="J199" s="11" t="s">
        <v>11</v>
      </c>
      <c r="K199" s="11" t="s">
        <v>9</v>
      </c>
      <c r="L199" s="11" t="s">
        <v>10</v>
      </c>
      <c r="M199" s="11" t="s">
        <v>11</v>
      </c>
      <c r="N199" s="11" t="s">
        <v>9</v>
      </c>
      <c r="O199" s="11" t="s">
        <v>10</v>
      </c>
      <c r="P199" s="11" t="s">
        <v>11</v>
      </c>
      <c r="Q199" s="11" t="s">
        <v>9</v>
      </c>
      <c r="R199" s="11" t="s">
        <v>10</v>
      </c>
      <c r="S199" s="11" t="s">
        <v>11</v>
      </c>
      <c r="T199" s="11" t="s">
        <v>9</v>
      </c>
      <c r="U199" s="11" t="s">
        <v>10</v>
      </c>
      <c r="V199" s="11" t="s">
        <v>11</v>
      </c>
      <c r="W199" s="11" t="s">
        <v>9</v>
      </c>
      <c r="X199" s="11" t="s">
        <v>10</v>
      </c>
      <c r="Y199" s="11" t="s">
        <v>11</v>
      </c>
      <c r="Z199" s="11" t="s">
        <v>9</v>
      </c>
      <c r="AA199" s="11" t="s">
        <v>10</v>
      </c>
      <c r="AB199" s="11" t="s">
        <v>11</v>
      </c>
      <c r="AC199" s="11" t="s">
        <v>12</v>
      </c>
      <c r="AD199" s="11" t="s">
        <v>13</v>
      </c>
      <c r="AE199" s="12" t="s">
        <v>11</v>
      </c>
    </row>
    <row r="200" spans="2:31" x14ac:dyDescent="0.5">
      <c r="C200" s="2" t="s">
        <v>63</v>
      </c>
      <c r="D200" s="3">
        <v>50</v>
      </c>
      <c r="E200" s="4">
        <v>112</v>
      </c>
      <c r="F200" s="4">
        <v>4</v>
      </c>
      <c r="G200" s="4">
        <v>104</v>
      </c>
      <c r="H200" s="4">
        <v>95</v>
      </c>
      <c r="I200" s="4">
        <v>22</v>
      </c>
      <c r="J200" s="4">
        <v>483</v>
      </c>
      <c r="K200" s="4">
        <v>125</v>
      </c>
      <c r="L200" s="4">
        <v>30</v>
      </c>
      <c r="M200" s="4">
        <v>555</v>
      </c>
      <c r="N200" s="4">
        <v>101</v>
      </c>
      <c r="O200" s="4">
        <v>3</v>
      </c>
      <c r="P200" s="4">
        <v>34</v>
      </c>
      <c r="Q200" s="4">
        <v>96</v>
      </c>
      <c r="R200" s="4">
        <v>2</v>
      </c>
      <c r="S200" s="4">
        <v>11</v>
      </c>
      <c r="T200" s="4">
        <v>98</v>
      </c>
      <c r="U200" s="4">
        <v>1</v>
      </c>
      <c r="V200" s="4">
        <v>2</v>
      </c>
      <c r="W200" s="4">
        <v>332</v>
      </c>
      <c r="X200" s="4">
        <v>16</v>
      </c>
      <c r="Y200" s="4">
        <v>328</v>
      </c>
      <c r="Z200" s="4">
        <v>295</v>
      </c>
      <c r="AA200" s="4">
        <v>1</v>
      </c>
      <c r="AB200" s="4">
        <v>5</v>
      </c>
      <c r="AC200" s="4">
        <v>627</v>
      </c>
      <c r="AD200" s="4">
        <v>5</v>
      </c>
      <c r="AE200" s="4">
        <v>92</v>
      </c>
    </row>
    <row r="202" spans="2:31" x14ac:dyDescent="0.5">
      <c r="B202" t="s">
        <v>81</v>
      </c>
      <c r="C202" s="20" t="s">
        <v>73</v>
      </c>
      <c r="D202" s="22" t="s">
        <v>0</v>
      </c>
      <c r="E202" s="14" t="s">
        <v>1</v>
      </c>
      <c r="F202" s="15"/>
      <c r="G202" s="16"/>
      <c r="H202" s="14" t="s">
        <v>2</v>
      </c>
      <c r="I202" s="15"/>
      <c r="J202" s="16"/>
      <c r="K202" s="14" t="s">
        <v>3</v>
      </c>
      <c r="L202" s="15"/>
      <c r="M202" s="16"/>
      <c r="N202" s="14" t="s">
        <v>4</v>
      </c>
      <c r="O202" s="15"/>
      <c r="P202" s="16"/>
      <c r="Q202" s="14" t="s">
        <v>5</v>
      </c>
      <c r="R202" s="15"/>
      <c r="S202" s="16"/>
      <c r="T202" s="14" t="s">
        <v>6</v>
      </c>
      <c r="U202" s="15"/>
      <c r="V202" s="16"/>
      <c r="W202" s="14" t="s">
        <v>7</v>
      </c>
      <c r="X202" s="15"/>
      <c r="Y202" s="16"/>
      <c r="Z202" s="14" t="s">
        <v>8</v>
      </c>
      <c r="AA202" s="15"/>
      <c r="AB202" s="16"/>
      <c r="AC202" s="17" t="s">
        <v>75</v>
      </c>
      <c r="AD202" s="18"/>
      <c r="AE202" s="19"/>
    </row>
    <row r="203" spans="2:31" x14ac:dyDescent="0.5">
      <c r="C203" s="21"/>
      <c r="D203" s="23"/>
      <c r="E203" s="11" t="s">
        <v>9</v>
      </c>
      <c r="F203" s="11" t="s">
        <v>10</v>
      </c>
      <c r="G203" s="11" t="s">
        <v>11</v>
      </c>
      <c r="H203" s="11" t="s">
        <v>9</v>
      </c>
      <c r="I203" s="11" t="s">
        <v>10</v>
      </c>
      <c r="J203" s="11" t="s">
        <v>11</v>
      </c>
      <c r="K203" s="11" t="s">
        <v>9</v>
      </c>
      <c r="L203" s="11" t="s">
        <v>10</v>
      </c>
      <c r="M203" s="11" t="s">
        <v>11</v>
      </c>
      <c r="N203" s="11" t="s">
        <v>9</v>
      </c>
      <c r="O203" s="11" t="s">
        <v>10</v>
      </c>
      <c r="P203" s="11" t="s">
        <v>11</v>
      </c>
      <c r="Q203" s="11" t="s">
        <v>9</v>
      </c>
      <c r="R203" s="11" t="s">
        <v>10</v>
      </c>
      <c r="S203" s="11" t="s">
        <v>11</v>
      </c>
      <c r="T203" s="11" t="s">
        <v>9</v>
      </c>
      <c r="U203" s="11" t="s">
        <v>10</v>
      </c>
      <c r="V203" s="11" t="s">
        <v>11</v>
      </c>
      <c r="W203" s="11" t="s">
        <v>9</v>
      </c>
      <c r="X203" s="11" t="s">
        <v>10</v>
      </c>
      <c r="Y203" s="11" t="s">
        <v>11</v>
      </c>
      <c r="Z203" s="11" t="s">
        <v>9</v>
      </c>
      <c r="AA203" s="11" t="s">
        <v>10</v>
      </c>
      <c r="AB203" s="11" t="s">
        <v>11</v>
      </c>
      <c r="AC203" s="11" t="s">
        <v>12</v>
      </c>
      <c r="AD203" s="11" t="s">
        <v>13</v>
      </c>
      <c r="AE203" s="12" t="s">
        <v>11</v>
      </c>
    </row>
    <row r="204" spans="2:31" x14ac:dyDescent="0.5">
      <c r="C204" s="2" t="s">
        <v>64</v>
      </c>
      <c r="D204" s="3">
        <v>51</v>
      </c>
      <c r="E204" s="4">
        <v>103</v>
      </c>
      <c r="F204" s="4">
        <v>22</v>
      </c>
      <c r="G204" s="4">
        <v>374</v>
      </c>
      <c r="H204" s="4">
        <v>107</v>
      </c>
      <c r="I204" s="4">
        <v>14</v>
      </c>
      <c r="J204" s="4">
        <v>258</v>
      </c>
      <c r="K204" s="4">
        <v>120</v>
      </c>
      <c r="L204" s="4">
        <v>39</v>
      </c>
      <c r="M204" s="4">
        <v>752</v>
      </c>
      <c r="N204" s="4">
        <v>81</v>
      </c>
      <c r="O204" s="4">
        <v>14</v>
      </c>
      <c r="P204" s="4">
        <v>251</v>
      </c>
      <c r="Q204" s="4">
        <v>86</v>
      </c>
      <c r="R204" s="4">
        <v>14</v>
      </c>
      <c r="S204" s="4">
        <v>220</v>
      </c>
      <c r="T204" s="4">
        <v>97</v>
      </c>
      <c r="U204" s="4">
        <v>3</v>
      </c>
      <c r="V204" s="4">
        <v>10</v>
      </c>
      <c r="W204" s="4">
        <v>330</v>
      </c>
      <c r="X204" s="4">
        <v>20</v>
      </c>
      <c r="Y204" s="4">
        <v>349</v>
      </c>
      <c r="Z204" s="4">
        <v>264</v>
      </c>
      <c r="AA204" s="4">
        <v>10</v>
      </c>
      <c r="AB204" s="4">
        <v>136</v>
      </c>
      <c r="AC204" s="4">
        <v>594</v>
      </c>
      <c r="AD204" s="4">
        <v>12</v>
      </c>
      <c r="AE204" s="4">
        <v>206</v>
      </c>
    </row>
    <row r="206" spans="2:31" x14ac:dyDescent="0.5">
      <c r="B206" t="s">
        <v>81</v>
      </c>
      <c r="C206" s="20" t="s">
        <v>73</v>
      </c>
      <c r="D206" s="22" t="s">
        <v>0</v>
      </c>
      <c r="E206" s="14" t="s">
        <v>1</v>
      </c>
      <c r="F206" s="15"/>
      <c r="G206" s="16"/>
      <c r="H206" s="14" t="s">
        <v>2</v>
      </c>
      <c r="I206" s="15"/>
      <c r="J206" s="16"/>
      <c r="K206" s="14" t="s">
        <v>3</v>
      </c>
      <c r="L206" s="15"/>
      <c r="M206" s="16"/>
      <c r="N206" s="14" t="s">
        <v>4</v>
      </c>
      <c r="O206" s="15"/>
      <c r="P206" s="16"/>
      <c r="Q206" s="14" t="s">
        <v>5</v>
      </c>
      <c r="R206" s="15"/>
      <c r="S206" s="16"/>
      <c r="T206" s="14" t="s">
        <v>6</v>
      </c>
      <c r="U206" s="15"/>
      <c r="V206" s="16"/>
      <c r="W206" s="14" t="s">
        <v>7</v>
      </c>
      <c r="X206" s="15"/>
      <c r="Y206" s="16"/>
      <c r="Z206" s="14" t="s">
        <v>8</v>
      </c>
      <c r="AA206" s="15"/>
      <c r="AB206" s="16"/>
      <c r="AC206" s="17" t="s">
        <v>75</v>
      </c>
      <c r="AD206" s="18"/>
      <c r="AE206" s="19"/>
    </row>
    <row r="207" spans="2:31" x14ac:dyDescent="0.5">
      <c r="C207" s="21"/>
      <c r="D207" s="23"/>
      <c r="E207" s="11" t="s">
        <v>9</v>
      </c>
      <c r="F207" s="11" t="s">
        <v>10</v>
      </c>
      <c r="G207" s="11" t="s">
        <v>11</v>
      </c>
      <c r="H207" s="11" t="s">
        <v>9</v>
      </c>
      <c r="I207" s="11" t="s">
        <v>10</v>
      </c>
      <c r="J207" s="11" t="s">
        <v>11</v>
      </c>
      <c r="K207" s="11" t="s">
        <v>9</v>
      </c>
      <c r="L207" s="11" t="s">
        <v>10</v>
      </c>
      <c r="M207" s="11" t="s">
        <v>11</v>
      </c>
      <c r="N207" s="11" t="s">
        <v>9</v>
      </c>
      <c r="O207" s="11" t="s">
        <v>10</v>
      </c>
      <c r="P207" s="11" t="s">
        <v>11</v>
      </c>
      <c r="Q207" s="11" t="s">
        <v>9</v>
      </c>
      <c r="R207" s="11" t="s">
        <v>10</v>
      </c>
      <c r="S207" s="11" t="s">
        <v>11</v>
      </c>
      <c r="T207" s="11" t="s">
        <v>9</v>
      </c>
      <c r="U207" s="11" t="s">
        <v>10</v>
      </c>
      <c r="V207" s="11" t="s">
        <v>11</v>
      </c>
      <c r="W207" s="11" t="s">
        <v>9</v>
      </c>
      <c r="X207" s="11" t="s">
        <v>10</v>
      </c>
      <c r="Y207" s="11" t="s">
        <v>11</v>
      </c>
      <c r="Z207" s="11" t="s">
        <v>9</v>
      </c>
      <c r="AA207" s="11" t="s">
        <v>10</v>
      </c>
      <c r="AB207" s="11" t="s">
        <v>11</v>
      </c>
      <c r="AC207" s="11" t="s">
        <v>12</v>
      </c>
      <c r="AD207" s="11" t="s">
        <v>13</v>
      </c>
      <c r="AE207" s="12" t="s">
        <v>11</v>
      </c>
    </row>
    <row r="208" spans="2:31" x14ac:dyDescent="0.5">
      <c r="C208" s="2" t="s">
        <v>65</v>
      </c>
      <c r="D208" s="3">
        <v>52</v>
      </c>
      <c r="E208" s="4">
        <v>79</v>
      </c>
      <c r="F208" s="4">
        <v>53</v>
      </c>
      <c r="G208" s="4">
        <v>1288</v>
      </c>
      <c r="H208" s="4">
        <v>53</v>
      </c>
      <c r="I208" s="4">
        <v>56</v>
      </c>
      <c r="J208" s="4">
        <v>1280</v>
      </c>
      <c r="K208" s="4">
        <v>113.5</v>
      </c>
      <c r="L208" s="4">
        <v>47</v>
      </c>
      <c r="M208" s="4">
        <v>959</v>
      </c>
      <c r="N208" s="4">
        <v>41</v>
      </c>
      <c r="O208" s="4">
        <v>52</v>
      </c>
      <c r="P208" s="4">
        <v>1096</v>
      </c>
      <c r="Q208" s="4">
        <v>56</v>
      </c>
      <c r="R208" s="4">
        <v>56</v>
      </c>
      <c r="S208" s="4">
        <v>1107</v>
      </c>
      <c r="T208" s="4">
        <v>69</v>
      </c>
      <c r="U208" s="4">
        <v>49</v>
      </c>
      <c r="V208" s="4">
        <v>855</v>
      </c>
      <c r="W208" s="4">
        <v>245.5</v>
      </c>
      <c r="X208" s="4">
        <v>56</v>
      </c>
      <c r="Y208" s="4">
        <v>1265</v>
      </c>
      <c r="Z208" s="4">
        <v>166</v>
      </c>
      <c r="AA208" s="4">
        <v>53</v>
      </c>
      <c r="AB208" s="4">
        <v>1071</v>
      </c>
      <c r="AC208" s="4">
        <v>411.5</v>
      </c>
      <c r="AD208" s="4">
        <v>56</v>
      </c>
      <c r="AE208" s="4">
        <v>1174</v>
      </c>
    </row>
    <row r="210" spans="2:31" x14ac:dyDescent="0.5">
      <c r="B210" t="s">
        <v>81</v>
      </c>
      <c r="C210" s="20" t="s">
        <v>73</v>
      </c>
      <c r="D210" s="22" t="s">
        <v>0</v>
      </c>
      <c r="E210" s="14" t="s">
        <v>1</v>
      </c>
      <c r="F210" s="15"/>
      <c r="G210" s="16"/>
      <c r="H210" s="14" t="s">
        <v>2</v>
      </c>
      <c r="I210" s="15"/>
      <c r="J210" s="16"/>
      <c r="K210" s="14" t="s">
        <v>3</v>
      </c>
      <c r="L210" s="15"/>
      <c r="M210" s="16"/>
      <c r="N210" s="14" t="s">
        <v>4</v>
      </c>
      <c r="O210" s="15"/>
      <c r="P210" s="16"/>
      <c r="Q210" s="14" t="s">
        <v>5</v>
      </c>
      <c r="R210" s="15"/>
      <c r="S210" s="16"/>
      <c r="T210" s="14" t="s">
        <v>6</v>
      </c>
      <c r="U210" s="15"/>
      <c r="V210" s="16"/>
      <c r="W210" s="14" t="s">
        <v>7</v>
      </c>
      <c r="X210" s="15"/>
      <c r="Y210" s="16"/>
      <c r="Z210" s="14" t="s">
        <v>8</v>
      </c>
      <c r="AA210" s="15"/>
      <c r="AB210" s="16"/>
      <c r="AC210" s="17" t="s">
        <v>75</v>
      </c>
      <c r="AD210" s="18"/>
      <c r="AE210" s="19"/>
    </row>
    <row r="211" spans="2:31" x14ac:dyDescent="0.5">
      <c r="C211" s="21"/>
      <c r="D211" s="23"/>
      <c r="E211" s="11" t="s">
        <v>9</v>
      </c>
      <c r="F211" s="11" t="s">
        <v>10</v>
      </c>
      <c r="G211" s="11" t="s">
        <v>11</v>
      </c>
      <c r="H211" s="11" t="s">
        <v>9</v>
      </c>
      <c r="I211" s="11" t="s">
        <v>10</v>
      </c>
      <c r="J211" s="11" t="s">
        <v>11</v>
      </c>
      <c r="K211" s="11" t="s">
        <v>9</v>
      </c>
      <c r="L211" s="11" t="s">
        <v>10</v>
      </c>
      <c r="M211" s="11" t="s">
        <v>11</v>
      </c>
      <c r="N211" s="11" t="s">
        <v>9</v>
      </c>
      <c r="O211" s="11" t="s">
        <v>10</v>
      </c>
      <c r="P211" s="11" t="s">
        <v>11</v>
      </c>
      <c r="Q211" s="11" t="s">
        <v>9</v>
      </c>
      <c r="R211" s="11" t="s">
        <v>10</v>
      </c>
      <c r="S211" s="11" t="s">
        <v>11</v>
      </c>
      <c r="T211" s="11" t="s">
        <v>9</v>
      </c>
      <c r="U211" s="11" t="s">
        <v>10</v>
      </c>
      <c r="V211" s="11" t="s">
        <v>11</v>
      </c>
      <c r="W211" s="11" t="s">
        <v>9</v>
      </c>
      <c r="X211" s="11" t="s">
        <v>10</v>
      </c>
      <c r="Y211" s="11" t="s">
        <v>11</v>
      </c>
      <c r="Z211" s="11" t="s">
        <v>9</v>
      </c>
      <c r="AA211" s="11" t="s">
        <v>10</v>
      </c>
      <c r="AB211" s="11" t="s">
        <v>11</v>
      </c>
      <c r="AC211" s="11" t="s">
        <v>12</v>
      </c>
      <c r="AD211" s="11" t="s">
        <v>13</v>
      </c>
      <c r="AE211" s="12" t="s">
        <v>11</v>
      </c>
    </row>
    <row r="212" spans="2:31" x14ac:dyDescent="0.5">
      <c r="C212" s="2" t="s">
        <v>66</v>
      </c>
      <c r="D212" s="3">
        <v>53</v>
      </c>
      <c r="E212" s="4">
        <v>105</v>
      </c>
      <c r="F212" s="4">
        <v>16</v>
      </c>
      <c r="G212" s="4">
        <v>307</v>
      </c>
      <c r="H212" s="4">
        <v>104</v>
      </c>
      <c r="I212" s="4">
        <v>15</v>
      </c>
      <c r="J212" s="4">
        <v>314</v>
      </c>
      <c r="K212" s="4">
        <v>129</v>
      </c>
      <c r="L212" s="4">
        <v>19</v>
      </c>
      <c r="M212" s="4">
        <v>425</v>
      </c>
      <c r="N212" s="4">
        <v>51</v>
      </c>
      <c r="O212" s="4">
        <v>40</v>
      </c>
      <c r="P212" s="4">
        <v>883</v>
      </c>
      <c r="Q212" s="4">
        <v>82</v>
      </c>
      <c r="R212" s="4">
        <v>20</v>
      </c>
      <c r="S212" s="4">
        <v>347</v>
      </c>
      <c r="T212" s="4">
        <v>86</v>
      </c>
      <c r="U212" s="4">
        <v>18</v>
      </c>
      <c r="V212" s="4">
        <v>301</v>
      </c>
      <c r="W212" s="4">
        <v>338</v>
      </c>
      <c r="X212" s="4">
        <v>12</v>
      </c>
      <c r="Y212" s="4">
        <v>252</v>
      </c>
      <c r="Z212" s="4">
        <v>219</v>
      </c>
      <c r="AA212" s="4">
        <v>30</v>
      </c>
      <c r="AB212" s="4">
        <v>545</v>
      </c>
      <c r="AC212" s="4">
        <v>557</v>
      </c>
      <c r="AD212" s="4">
        <v>21</v>
      </c>
      <c r="AE212" s="4">
        <v>393</v>
      </c>
    </row>
    <row r="214" spans="2:31" x14ac:dyDescent="0.5">
      <c r="B214" t="s">
        <v>81</v>
      </c>
      <c r="C214" s="20" t="s">
        <v>73</v>
      </c>
      <c r="D214" s="22" t="s">
        <v>0</v>
      </c>
      <c r="E214" s="14" t="s">
        <v>1</v>
      </c>
      <c r="F214" s="15"/>
      <c r="G214" s="16"/>
      <c r="H214" s="14" t="s">
        <v>2</v>
      </c>
      <c r="I214" s="15"/>
      <c r="J214" s="16"/>
      <c r="K214" s="14" t="s">
        <v>3</v>
      </c>
      <c r="L214" s="15"/>
      <c r="M214" s="16"/>
      <c r="N214" s="14" t="s">
        <v>4</v>
      </c>
      <c r="O214" s="15"/>
      <c r="P214" s="16"/>
      <c r="Q214" s="14" t="s">
        <v>5</v>
      </c>
      <c r="R214" s="15"/>
      <c r="S214" s="16"/>
      <c r="T214" s="14" t="s">
        <v>6</v>
      </c>
      <c r="U214" s="15"/>
      <c r="V214" s="16"/>
      <c r="W214" s="14" t="s">
        <v>7</v>
      </c>
      <c r="X214" s="15"/>
      <c r="Y214" s="16"/>
      <c r="Z214" s="14" t="s">
        <v>8</v>
      </c>
      <c r="AA214" s="15"/>
      <c r="AB214" s="16"/>
      <c r="AC214" s="17" t="s">
        <v>75</v>
      </c>
      <c r="AD214" s="18"/>
      <c r="AE214" s="19"/>
    </row>
    <row r="215" spans="2:31" x14ac:dyDescent="0.5">
      <c r="C215" s="21"/>
      <c r="D215" s="23"/>
      <c r="E215" s="11" t="s">
        <v>9</v>
      </c>
      <c r="F215" s="11" t="s">
        <v>10</v>
      </c>
      <c r="G215" s="11" t="s">
        <v>11</v>
      </c>
      <c r="H215" s="11" t="s">
        <v>9</v>
      </c>
      <c r="I215" s="11" t="s">
        <v>10</v>
      </c>
      <c r="J215" s="11" t="s">
        <v>11</v>
      </c>
      <c r="K215" s="11" t="s">
        <v>9</v>
      </c>
      <c r="L215" s="11" t="s">
        <v>10</v>
      </c>
      <c r="M215" s="11" t="s">
        <v>11</v>
      </c>
      <c r="N215" s="11" t="s">
        <v>9</v>
      </c>
      <c r="O215" s="11" t="s">
        <v>10</v>
      </c>
      <c r="P215" s="11" t="s">
        <v>11</v>
      </c>
      <c r="Q215" s="11" t="s">
        <v>9</v>
      </c>
      <c r="R215" s="11" t="s">
        <v>10</v>
      </c>
      <c r="S215" s="11" t="s">
        <v>11</v>
      </c>
      <c r="T215" s="11" t="s">
        <v>9</v>
      </c>
      <c r="U215" s="11" t="s">
        <v>10</v>
      </c>
      <c r="V215" s="11" t="s">
        <v>11</v>
      </c>
      <c r="W215" s="11" t="s">
        <v>9</v>
      </c>
      <c r="X215" s="11" t="s">
        <v>10</v>
      </c>
      <c r="Y215" s="11" t="s">
        <v>11</v>
      </c>
      <c r="Z215" s="11" t="s">
        <v>9</v>
      </c>
      <c r="AA215" s="11" t="s">
        <v>10</v>
      </c>
      <c r="AB215" s="11" t="s">
        <v>11</v>
      </c>
      <c r="AC215" s="11" t="s">
        <v>12</v>
      </c>
      <c r="AD215" s="11" t="s">
        <v>13</v>
      </c>
      <c r="AE215" s="12" t="s">
        <v>11</v>
      </c>
    </row>
    <row r="216" spans="2:31" x14ac:dyDescent="0.5">
      <c r="C216" s="2" t="s">
        <v>67</v>
      </c>
      <c r="D216" s="3">
        <v>54</v>
      </c>
      <c r="E216" s="4">
        <v>61</v>
      </c>
      <c r="F216" s="4">
        <v>59</v>
      </c>
      <c r="G216" s="4">
        <v>1412</v>
      </c>
      <c r="H216" s="4">
        <v>49</v>
      </c>
      <c r="I216" s="4">
        <v>58</v>
      </c>
      <c r="J216" s="4">
        <v>1328</v>
      </c>
      <c r="K216" s="4">
        <v>126</v>
      </c>
      <c r="L216" s="4">
        <v>26</v>
      </c>
      <c r="M216" s="4">
        <v>521</v>
      </c>
      <c r="N216" s="4">
        <v>46</v>
      </c>
      <c r="O216" s="4">
        <v>48</v>
      </c>
      <c r="P216" s="4">
        <v>986</v>
      </c>
      <c r="Q216" s="4">
        <v>58</v>
      </c>
      <c r="R216" s="4">
        <v>54</v>
      </c>
      <c r="S216" s="4">
        <v>1069</v>
      </c>
      <c r="T216" s="4">
        <v>44</v>
      </c>
      <c r="U216" s="4">
        <v>59</v>
      </c>
      <c r="V216" s="4">
        <v>1348</v>
      </c>
      <c r="W216" s="4">
        <v>236</v>
      </c>
      <c r="X216" s="4">
        <v>58</v>
      </c>
      <c r="Y216" s="4">
        <v>1314</v>
      </c>
      <c r="Z216" s="4">
        <v>148</v>
      </c>
      <c r="AA216" s="4">
        <v>59</v>
      </c>
      <c r="AB216" s="4">
        <v>1207</v>
      </c>
      <c r="AC216" s="4">
        <v>384</v>
      </c>
      <c r="AD216" s="4">
        <v>58</v>
      </c>
      <c r="AE216" s="4">
        <v>1284</v>
      </c>
    </row>
    <row r="218" spans="2:31" x14ac:dyDescent="0.5">
      <c r="B218" t="s">
        <v>81</v>
      </c>
      <c r="C218" s="20" t="s">
        <v>73</v>
      </c>
      <c r="D218" s="22" t="s">
        <v>0</v>
      </c>
      <c r="E218" s="14" t="s">
        <v>1</v>
      </c>
      <c r="F218" s="15"/>
      <c r="G218" s="16"/>
      <c r="H218" s="14" t="s">
        <v>2</v>
      </c>
      <c r="I218" s="15"/>
      <c r="J218" s="16"/>
      <c r="K218" s="14" t="s">
        <v>3</v>
      </c>
      <c r="L218" s="15"/>
      <c r="M218" s="16"/>
      <c r="N218" s="14" t="s">
        <v>4</v>
      </c>
      <c r="O218" s="15"/>
      <c r="P218" s="16"/>
      <c r="Q218" s="14" t="s">
        <v>5</v>
      </c>
      <c r="R218" s="15"/>
      <c r="S218" s="16"/>
      <c r="T218" s="14" t="s">
        <v>6</v>
      </c>
      <c r="U218" s="15"/>
      <c r="V218" s="16"/>
      <c r="W218" s="14" t="s">
        <v>7</v>
      </c>
      <c r="X218" s="15"/>
      <c r="Y218" s="16"/>
      <c r="Z218" s="14" t="s">
        <v>8</v>
      </c>
      <c r="AA218" s="15"/>
      <c r="AB218" s="16"/>
      <c r="AC218" s="17" t="s">
        <v>75</v>
      </c>
      <c r="AD218" s="18"/>
      <c r="AE218" s="19"/>
    </row>
    <row r="219" spans="2:31" x14ac:dyDescent="0.5">
      <c r="C219" s="21"/>
      <c r="D219" s="23"/>
      <c r="E219" s="11" t="s">
        <v>9</v>
      </c>
      <c r="F219" s="11" t="s">
        <v>10</v>
      </c>
      <c r="G219" s="11" t="s">
        <v>11</v>
      </c>
      <c r="H219" s="11" t="s">
        <v>9</v>
      </c>
      <c r="I219" s="11" t="s">
        <v>10</v>
      </c>
      <c r="J219" s="11" t="s">
        <v>11</v>
      </c>
      <c r="K219" s="11" t="s">
        <v>9</v>
      </c>
      <c r="L219" s="11" t="s">
        <v>10</v>
      </c>
      <c r="M219" s="11" t="s">
        <v>11</v>
      </c>
      <c r="N219" s="11" t="s">
        <v>9</v>
      </c>
      <c r="O219" s="11" t="s">
        <v>10</v>
      </c>
      <c r="P219" s="11" t="s">
        <v>11</v>
      </c>
      <c r="Q219" s="11" t="s">
        <v>9</v>
      </c>
      <c r="R219" s="11" t="s">
        <v>10</v>
      </c>
      <c r="S219" s="11" t="s">
        <v>11</v>
      </c>
      <c r="T219" s="11" t="s">
        <v>9</v>
      </c>
      <c r="U219" s="11" t="s">
        <v>10</v>
      </c>
      <c r="V219" s="11" t="s">
        <v>11</v>
      </c>
      <c r="W219" s="11" t="s">
        <v>9</v>
      </c>
      <c r="X219" s="11" t="s">
        <v>10</v>
      </c>
      <c r="Y219" s="11" t="s">
        <v>11</v>
      </c>
      <c r="Z219" s="11" t="s">
        <v>9</v>
      </c>
      <c r="AA219" s="11" t="s">
        <v>10</v>
      </c>
      <c r="AB219" s="11" t="s">
        <v>11</v>
      </c>
      <c r="AC219" s="11" t="s">
        <v>12</v>
      </c>
      <c r="AD219" s="11" t="s">
        <v>13</v>
      </c>
      <c r="AE219" s="12" t="s">
        <v>11</v>
      </c>
    </row>
    <row r="220" spans="2:31" x14ac:dyDescent="0.5">
      <c r="C220" s="2" t="s">
        <v>68</v>
      </c>
      <c r="D220" s="3">
        <v>55</v>
      </c>
      <c r="E220" s="4">
        <v>110</v>
      </c>
      <c r="F220" s="4">
        <v>8</v>
      </c>
      <c r="G220" s="4">
        <v>151</v>
      </c>
      <c r="H220" s="4">
        <v>97</v>
      </c>
      <c r="I220" s="4">
        <v>19</v>
      </c>
      <c r="J220" s="4">
        <v>437</v>
      </c>
      <c r="K220" s="4">
        <v>127</v>
      </c>
      <c r="L220" s="4">
        <v>25</v>
      </c>
      <c r="M220" s="4">
        <v>490</v>
      </c>
      <c r="N220" s="4">
        <v>90</v>
      </c>
      <c r="O220" s="4">
        <v>7</v>
      </c>
      <c r="P220" s="4">
        <v>120</v>
      </c>
      <c r="Q220" s="4">
        <v>86</v>
      </c>
      <c r="R220" s="4">
        <v>14</v>
      </c>
      <c r="S220" s="4">
        <v>220</v>
      </c>
      <c r="T220" s="4">
        <v>84</v>
      </c>
      <c r="U220" s="4">
        <v>23</v>
      </c>
      <c r="V220" s="4">
        <v>379</v>
      </c>
      <c r="W220" s="4">
        <v>334</v>
      </c>
      <c r="X220" s="4">
        <v>15</v>
      </c>
      <c r="Y220" s="4">
        <v>301</v>
      </c>
      <c r="Z220" s="4">
        <v>260</v>
      </c>
      <c r="AA220" s="4">
        <v>12</v>
      </c>
      <c r="AB220" s="4">
        <v>169</v>
      </c>
      <c r="AC220" s="4">
        <v>594</v>
      </c>
      <c r="AD220" s="4">
        <v>12</v>
      </c>
      <c r="AE220" s="4">
        <v>206</v>
      </c>
    </row>
    <row r="222" spans="2:31" x14ac:dyDescent="0.5">
      <c r="B222" t="s">
        <v>81</v>
      </c>
      <c r="C222" s="20" t="s">
        <v>73</v>
      </c>
      <c r="D222" s="22" t="s">
        <v>0</v>
      </c>
      <c r="E222" s="14" t="s">
        <v>1</v>
      </c>
      <c r="F222" s="15"/>
      <c r="G222" s="16"/>
      <c r="H222" s="14" t="s">
        <v>2</v>
      </c>
      <c r="I222" s="15"/>
      <c r="J222" s="16"/>
      <c r="K222" s="14" t="s">
        <v>3</v>
      </c>
      <c r="L222" s="15"/>
      <c r="M222" s="16"/>
      <c r="N222" s="14" t="s">
        <v>4</v>
      </c>
      <c r="O222" s="15"/>
      <c r="P222" s="16"/>
      <c r="Q222" s="14" t="s">
        <v>5</v>
      </c>
      <c r="R222" s="15"/>
      <c r="S222" s="16"/>
      <c r="T222" s="14" t="s">
        <v>6</v>
      </c>
      <c r="U222" s="15"/>
      <c r="V222" s="16"/>
      <c r="W222" s="14" t="s">
        <v>7</v>
      </c>
      <c r="X222" s="15"/>
      <c r="Y222" s="16"/>
      <c r="Z222" s="14" t="s">
        <v>8</v>
      </c>
      <c r="AA222" s="15"/>
      <c r="AB222" s="16"/>
      <c r="AC222" s="17" t="s">
        <v>75</v>
      </c>
      <c r="AD222" s="18"/>
      <c r="AE222" s="19"/>
    </row>
    <row r="223" spans="2:31" x14ac:dyDescent="0.5">
      <c r="C223" s="21"/>
      <c r="D223" s="23"/>
      <c r="E223" s="11" t="s">
        <v>9</v>
      </c>
      <c r="F223" s="11" t="s">
        <v>10</v>
      </c>
      <c r="G223" s="11" t="s">
        <v>11</v>
      </c>
      <c r="H223" s="11" t="s">
        <v>9</v>
      </c>
      <c r="I223" s="11" t="s">
        <v>10</v>
      </c>
      <c r="J223" s="11" t="s">
        <v>11</v>
      </c>
      <c r="K223" s="11" t="s">
        <v>9</v>
      </c>
      <c r="L223" s="11" t="s">
        <v>10</v>
      </c>
      <c r="M223" s="11" t="s">
        <v>11</v>
      </c>
      <c r="N223" s="11" t="s">
        <v>9</v>
      </c>
      <c r="O223" s="11" t="s">
        <v>10</v>
      </c>
      <c r="P223" s="11" t="s">
        <v>11</v>
      </c>
      <c r="Q223" s="11" t="s">
        <v>9</v>
      </c>
      <c r="R223" s="11" t="s">
        <v>10</v>
      </c>
      <c r="S223" s="11" t="s">
        <v>11</v>
      </c>
      <c r="T223" s="11" t="s">
        <v>9</v>
      </c>
      <c r="U223" s="11" t="s">
        <v>10</v>
      </c>
      <c r="V223" s="11" t="s">
        <v>11</v>
      </c>
      <c r="W223" s="11" t="s">
        <v>9</v>
      </c>
      <c r="X223" s="11" t="s">
        <v>10</v>
      </c>
      <c r="Y223" s="11" t="s">
        <v>11</v>
      </c>
      <c r="Z223" s="11" t="s">
        <v>9</v>
      </c>
      <c r="AA223" s="11" t="s">
        <v>10</v>
      </c>
      <c r="AB223" s="11" t="s">
        <v>11</v>
      </c>
      <c r="AC223" s="11" t="s">
        <v>12</v>
      </c>
      <c r="AD223" s="11" t="s">
        <v>13</v>
      </c>
      <c r="AE223" s="12" t="s">
        <v>11</v>
      </c>
    </row>
    <row r="224" spans="2:31" x14ac:dyDescent="0.5">
      <c r="C224" s="2" t="s">
        <v>69</v>
      </c>
      <c r="D224" s="3">
        <v>56</v>
      </c>
      <c r="E224" s="4">
        <v>112</v>
      </c>
      <c r="F224" s="4">
        <v>4</v>
      </c>
      <c r="G224" s="4">
        <v>104</v>
      </c>
      <c r="H224" s="4">
        <v>98</v>
      </c>
      <c r="I224" s="4">
        <v>18</v>
      </c>
      <c r="J224" s="4">
        <v>426</v>
      </c>
      <c r="K224" s="4">
        <v>118.5</v>
      </c>
      <c r="L224" s="4">
        <v>41</v>
      </c>
      <c r="M224" s="4">
        <v>803</v>
      </c>
      <c r="N224" s="4">
        <v>59</v>
      </c>
      <c r="O224" s="4">
        <v>34</v>
      </c>
      <c r="P224" s="4">
        <v>709</v>
      </c>
      <c r="Q224" s="4">
        <v>74</v>
      </c>
      <c r="R224" s="4">
        <v>35</v>
      </c>
      <c r="S224" s="4">
        <v>603</v>
      </c>
      <c r="T224" s="4">
        <v>78</v>
      </c>
      <c r="U224" s="4">
        <v>36</v>
      </c>
      <c r="V224" s="4">
        <v>568</v>
      </c>
      <c r="W224" s="4">
        <v>328.5</v>
      </c>
      <c r="X224" s="4">
        <v>22</v>
      </c>
      <c r="Y224" s="4">
        <v>365</v>
      </c>
      <c r="Z224" s="4">
        <v>211</v>
      </c>
      <c r="AA224" s="4">
        <v>34</v>
      </c>
      <c r="AB224" s="4">
        <v>626</v>
      </c>
      <c r="AC224" s="4">
        <v>539.5</v>
      </c>
      <c r="AD224" s="4">
        <v>29</v>
      </c>
      <c r="AE224" s="4">
        <v>502</v>
      </c>
    </row>
    <row r="226" spans="2:31" x14ac:dyDescent="0.5">
      <c r="B226" t="s">
        <v>81</v>
      </c>
      <c r="C226" s="20" t="s">
        <v>73</v>
      </c>
      <c r="D226" s="22" t="s">
        <v>0</v>
      </c>
      <c r="E226" s="14" t="s">
        <v>1</v>
      </c>
      <c r="F226" s="15"/>
      <c r="G226" s="16"/>
      <c r="H226" s="14" t="s">
        <v>2</v>
      </c>
      <c r="I226" s="15"/>
      <c r="J226" s="16"/>
      <c r="K226" s="14" t="s">
        <v>3</v>
      </c>
      <c r="L226" s="15"/>
      <c r="M226" s="16"/>
      <c r="N226" s="14" t="s">
        <v>4</v>
      </c>
      <c r="O226" s="15"/>
      <c r="P226" s="16"/>
      <c r="Q226" s="14" t="s">
        <v>5</v>
      </c>
      <c r="R226" s="15"/>
      <c r="S226" s="16"/>
      <c r="T226" s="14" t="s">
        <v>6</v>
      </c>
      <c r="U226" s="15"/>
      <c r="V226" s="16"/>
      <c r="W226" s="14" t="s">
        <v>7</v>
      </c>
      <c r="X226" s="15"/>
      <c r="Y226" s="16"/>
      <c r="Z226" s="14" t="s">
        <v>8</v>
      </c>
      <c r="AA226" s="15"/>
      <c r="AB226" s="16"/>
      <c r="AC226" s="17" t="s">
        <v>75</v>
      </c>
      <c r="AD226" s="18"/>
      <c r="AE226" s="19"/>
    </row>
    <row r="227" spans="2:31" x14ac:dyDescent="0.5">
      <c r="C227" s="21"/>
      <c r="D227" s="23"/>
      <c r="E227" s="11" t="s">
        <v>9</v>
      </c>
      <c r="F227" s="11" t="s">
        <v>10</v>
      </c>
      <c r="G227" s="11" t="s">
        <v>11</v>
      </c>
      <c r="H227" s="11" t="s">
        <v>9</v>
      </c>
      <c r="I227" s="11" t="s">
        <v>10</v>
      </c>
      <c r="J227" s="11" t="s">
        <v>11</v>
      </c>
      <c r="K227" s="11" t="s">
        <v>9</v>
      </c>
      <c r="L227" s="11" t="s">
        <v>10</v>
      </c>
      <c r="M227" s="11" t="s">
        <v>11</v>
      </c>
      <c r="N227" s="11" t="s">
        <v>9</v>
      </c>
      <c r="O227" s="11" t="s">
        <v>10</v>
      </c>
      <c r="P227" s="11" t="s">
        <v>11</v>
      </c>
      <c r="Q227" s="11" t="s">
        <v>9</v>
      </c>
      <c r="R227" s="11" t="s">
        <v>10</v>
      </c>
      <c r="S227" s="11" t="s">
        <v>11</v>
      </c>
      <c r="T227" s="11" t="s">
        <v>9</v>
      </c>
      <c r="U227" s="11" t="s">
        <v>10</v>
      </c>
      <c r="V227" s="11" t="s">
        <v>11</v>
      </c>
      <c r="W227" s="11" t="s">
        <v>9</v>
      </c>
      <c r="X227" s="11" t="s">
        <v>10</v>
      </c>
      <c r="Y227" s="11" t="s">
        <v>11</v>
      </c>
      <c r="Z227" s="11" t="s">
        <v>9</v>
      </c>
      <c r="AA227" s="11" t="s">
        <v>10</v>
      </c>
      <c r="AB227" s="11" t="s">
        <v>11</v>
      </c>
      <c r="AC227" s="11" t="s">
        <v>12</v>
      </c>
      <c r="AD227" s="11" t="s">
        <v>13</v>
      </c>
      <c r="AE227" s="12" t="s">
        <v>11</v>
      </c>
    </row>
    <row r="228" spans="2:31" x14ac:dyDescent="0.5">
      <c r="C228" s="2" t="s">
        <v>70</v>
      </c>
      <c r="D228" s="3">
        <v>57</v>
      </c>
      <c r="E228" s="4">
        <v>89</v>
      </c>
      <c r="F228" s="4">
        <v>48</v>
      </c>
      <c r="G228" s="4">
        <v>1009</v>
      </c>
      <c r="H228" s="4">
        <v>68</v>
      </c>
      <c r="I228" s="4">
        <v>49</v>
      </c>
      <c r="J228" s="4">
        <v>1044</v>
      </c>
      <c r="K228" s="4">
        <v>123.5</v>
      </c>
      <c r="L228" s="4">
        <v>34</v>
      </c>
      <c r="M228" s="4">
        <v>615</v>
      </c>
      <c r="N228" s="4">
        <v>36</v>
      </c>
      <c r="O228" s="4">
        <v>55</v>
      </c>
      <c r="P228" s="4">
        <v>1206</v>
      </c>
      <c r="Q228" s="4">
        <v>62</v>
      </c>
      <c r="R228" s="4">
        <v>51</v>
      </c>
      <c r="S228" s="4">
        <v>987</v>
      </c>
      <c r="T228" s="4">
        <v>67</v>
      </c>
      <c r="U228" s="4">
        <v>51</v>
      </c>
      <c r="V228" s="4">
        <v>918</v>
      </c>
      <c r="W228" s="4">
        <v>280.5</v>
      </c>
      <c r="X228" s="4">
        <v>48</v>
      </c>
      <c r="Y228" s="4">
        <v>962</v>
      </c>
      <c r="Z228" s="4">
        <v>165</v>
      </c>
      <c r="AA228" s="4">
        <v>54</v>
      </c>
      <c r="AB228" s="4">
        <v>1080</v>
      </c>
      <c r="AC228" s="4">
        <v>445.5</v>
      </c>
      <c r="AD228" s="4">
        <v>53</v>
      </c>
      <c r="AE228" s="4">
        <v>1037</v>
      </c>
    </row>
    <row r="230" spans="2:31" x14ac:dyDescent="0.5">
      <c r="B230" t="s">
        <v>81</v>
      </c>
      <c r="C230" s="20" t="s">
        <v>73</v>
      </c>
      <c r="D230" s="22" t="s">
        <v>0</v>
      </c>
      <c r="E230" s="14" t="s">
        <v>1</v>
      </c>
      <c r="F230" s="15"/>
      <c r="G230" s="16"/>
      <c r="H230" s="14" t="s">
        <v>2</v>
      </c>
      <c r="I230" s="15"/>
      <c r="J230" s="16"/>
      <c r="K230" s="14" t="s">
        <v>3</v>
      </c>
      <c r="L230" s="15"/>
      <c r="M230" s="16"/>
      <c r="N230" s="14" t="s">
        <v>4</v>
      </c>
      <c r="O230" s="15"/>
      <c r="P230" s="16"/>
      <c r="Q230" s="14" t="s">
        <v>5</v>
      </c>
      <c r="R230" s="15"/>
      <c r="S230" s="16"/>
      <c r="T230" s="14" t="s">
        <v>6</v>
      </c>
      <c r="U230" s="15"/>
      <c r="V230" s="16"/>
      <c r="W230" s="14" t="s">
        <v>7</v>
      </c>
      <c r="X230" s="15"/>
      <c r="Y230" s="16"/>
      <c r="Z230" s="14" t="s">
        <v>8</v>
      </c>
      <c r="AA230" s="15"/>
      <c r="AB230" s="16"/>
      <c r="AC230" s="17" t="s">
        <v>75</v>
      </c>
      <c r="AD230" s="18"/>
      <c r="AE230" s="19"/>
    </row>
    <row r="231" spans="2:31" x14ac:dyDescent="0.5">
      <c r="C231" s="21"/>
      <c r="D231" s="23"/>
      <c r="E231" s="11" t="s">
        <v>9</v>
      </c>
      <c r="F231" s="11" t="s">
        <v>10</v>
      </c>
      <c r="G231" s="11" t="s">
        <v>11</v>
      </c>
      <c r="H231" s="11" t="s">
        <v>9</v>
      </c>
      <c r="I231" s="11" t="s">
        <v>10</v>
      </c>
      <c r="J231" s="11" t="s">
        <v>11</v>
      </c>
      <c r="K231" s="11" t="s">
        <v>9</v>
      </c>
      <c r="L231" s="11" t="s">
        <v>10</v>
      </c>
      <c r="M231" s="11" t="s">
        <v>11</v>
      </c>
      <c r="N231" s="11" t="s">
        <v>9</v>
      </c>
      <c r="O231" s="11" t="s">
        <v>10</v>
      </c>
      <c r="P231" s="11" t="s">
        <v>11</v>
      </c>
      <c r="Q231" s="11" t="s">
        <v>9</v>
      </c>
      <c r="R231" s="11" t="s">
        <v>10</v>
      </c>
      <c r="S231" s="11" t="s">
        <v>11</v>
      </c>
      <c r="T231" s="11" t="s">
        <v>9</v>
      </c>
      <c r="U231" s="11" t="s">
        <v>10</v>
      </c>
      <c r="V231" s="11" t="s">
        <v>11</v>
      </c>
      <c r="W231" s="11" t="s">
        <v>9</v>
      </c>
      <c r="X231" s="11" t="s">
        <v>10</v>
      </c>
      <c r="Y231" s="11" t="s">
        <v>11</v>
      </c>
      <c r="Z231" s="11" t="s">
        <v>9</v>
      </c>
      <c r="AA231" s="11" t="s">
        <v>10</v>
      </c>
      <c r="AB231" s="11" t="s">
        <v>11</v>
      </c>
      <c r="AC231" s="11" t="s">
        <v>12</v>
      </c>
      <c r="AD231" s="11" t="s">
        <v>13</v>
      </c>
      <c r="AE231" s="12" t="s">
        <v>11</v>
      </c>
    </row>
    <row r="232" spans="2:31" x14ac:dyDescent="0.5">
      <c r="C232" s="2" t="s">
        <v>71</v>
      </c>
      <c r="D232" s="3">
        <v>58</v>
      </c>
      <c r="E232" s="4">
        <v>101</v>
      </c>
      <c r="F232" s="4">
        <v>24</v>
      </c>
      <c r="G232" s="4">
        <v>457</v>
      </c>
      <c r="H232" s="4">
        <v>55</v>
      </c>
      <c r="I232" s="4">
        <v>54</v>
      </c>
      <c r="J232" s="4">
        <v>1245</v>
      </c>
      <c r="K232" s="4">
        <v>125.5</v>
      </c>
      <c r="L232" s="4">
        <v>29</v>
      </c>
      <c r="M232" s="4">
        <v>541</v>
      </c>
      <c r="N232" s="4">
        <v>62</v>
      </c>
      <c r="O232" s="4">
        <v>29</v>
      </c>
      <c r="P232" s="4">
        <v>637</v>
      </c>
      <c r="Q232" s="4">
        <v>66</v>
      </c>
      <c r="R232" s="4">
        <v>47</v>
      </c>
      <c r="S232" s="4">
        <v>868</v>
      </c>
      <c r="T232" s="4">
        <v>72</v>
      </c>
      <c r="U232" s="4">
        <v>42</v>
      </c>
      <c r="V232" s="4">
        <v>757</v>
      </c>
      <c r="W232" s="4">
        <v>281.5</v>
      </c>
      <c r="X232" s="4">
        <v>46</v>
      </c>
      <c r="Y232" s="4">
        <v>950</v>
      </c>
      <c r="Z232" s="4">
        <v>200</v>
      </c>
      <c r="AA232" s="4">
        <v>41</v>
      </c>
      <c r="AB232" s="4">
        <v>740</v>
      </c>
      <c r="AC232" s="4">
        <v>481.5</v>
      </c>
      <c r="AD232" s="4">
        <v>44</v>
      </c>
      <c r="AE232" s="4">
        <v>841</v>
      </c>
    </row>
    <row r="234" spans="2:31" x14ac:dyDescent="0.5">
      <c r="B234" t="s">
        <v>81</v>
      </c>
      <c r="C234" s="20" t="s">
        <v>73</v>
      </c>
      <c r="D234" s="22" t="s">
        <v>0</v>
      </c>
      <c r="E234" s="14" t="s">
        <v>1</v>
      </c>
      <c r="F234" s="15"/>
      <c r="G234" s="16"/>
      <c r="H234" s="14" t="s">
        <v>2</v>
      </c>
      <c r="I234" s="15"/>
      <c r="J234" s="16"/>
      <c r="K234" s="14" t="s">
        <v>3</v>
      </c>
      <c r="L234" s="15"/>
      <c r="M234" s="16"/>
      <c r="N234" s="14" t="s">
        <v>4</v>
      </c>
      <c r="O234" s="15"/>
      <c r="P234" s="16"/>
      <c r="Q234" s="14" t="s">
        <v>5</v>
      </c>
      <c r="R234" s="15"/>
      <c r="S234" s="16"/>
      <c r="T234" s="14" t="s">
        <v>6</v>
      </c>
      <c r="U234" s="15"/>
      <c r="V234" s="16"/>
      <c r="W234" s="14" t="s">
        <v>7</v>
      </c>
      <c r="X234" s="15"/>
      <c r="Y234" s="16"/>
      <c r="Z234" s="14" t="s">
        <v>8</v>
      </c>
      <c r="AA234" s="15"/>
      <c r="AB234" s="16"/>
      <c r="AC234" s="17" t="s">
        <v>75</v>
      </c>
      <c r="AD234" s="18"/>
      <c r="AE234" s="19"/>
    </row>
    <row r="235" spans="2:31" x14ac:dyDescent="0.5">
      <c r="C235" s="21"/>
      <c r="D235" s="23"/>
      <c r="E235" s="11" t="s">
        <v>9</v>
      </c>
      <c r="F235" s="11" t="s">
        <v>10</v>
      </c>
      <c r="G235" s="11" t="s">
        <v>11</v>
      </c>
      <c r="H235" s="11" t="s">
        <v>9</v>
      </c>
      <c r="I235" s="11" t="s">
        <v>10</v>
      </c>
      <c r="J235" s="11" t="s">
        <v>11</v>
      </c>
      <c r="K235" s="11" t="s">
        <v>9</v>
      </c>
      <c r="L235" s="11" t="s">
        <v>10</v>
      </c>
      <c r="M235" s="11" t="s">
        <v>11</v>
      </c>
      <c r="N235" s="11" t="s">
        <v>9</v>
      </c>
      <c r="O235" s="11" t="s">
        <v>10</v>
      </c>
      <c r="P235" s="11" t="s">
        <v>11</v>
      </c>
      <c r="Q235" s="11" t="s">
        <v>9</v>
      </c>
      <c r="R235" s="11" t="s">
        <v>10</v>
      </c>
      <c r="S235" s="11" t="s">
        <v>11</v>
      </c>
      <c r="T235" s="11" t="s">
        <v>9</v>
      </c>
      <c r="U235" s="11" t="s">
        <v>10</v>
      </c>
      <c r="V235" s="11" t="s">
        <v>11</v>
      </c>
      <c r="W235" s="11" t="s">
        <v>9</v>
      </c>
      <c r="X235" s="11" t="s">
        <v>10</v>
      </c>
      <c r="Y235" s="11" t="s">
        <v>11</v>
      </c>
      <c r="Z235" s="11" t="s">
        <v>9</v>
      </c>
      <c r="AA235" s="11" t="s">
        <v>10</v>
      </c>
      <c r="AB235" s="11" t="s">
        <v>11</v>
      </c>
      <c r="AC235" s="11" t="s">
        <v>12</v>
      </c>
      <c r="AD235" s="11" t="s">
        <v>13</v>
      </c>
      <c r="AE235" s="12" t="s">
        <v>11</v>
      </c>
    </row>
    <row r="236" spans="2:31" x14ac:dyDescent="0.5">
      <c r="C236" s="2" t="s">
        <v>72</v>
      </c>
      <c r="D236" s="3">
        <v>59</v>
      </c>
      <c r="E236" s="4">
        <v>114</v>
      </c>
      <c r="F236" s="4">
        <v>2</v>
      </c>
      <c r="G236" s="4">
        <v>61</v>
      </c>
      <c r="H236" s="4">
        <v>92</v>
      </c>
      <c r="I236" s="4">
        <v>27</v>
      </c>
      <c r="J236" s="4">
        <v>553</v>
      </c>
      <c r="K236" s="4">
        <v>134.5</v>
      </c>
      <c r="L236" s="4">
        <v>9</v>
      </c>
      <c r="M236" s="4">
        <v>231</v>
      </c>
      <c r="N236" s="4">
        <v>50</v>
      </c>
      <c r="O236" s="4">
        <v>42</v>
      </c>
      <c r="P236" s="4">
        <v>902</v>
      </c>
      <c r="Q236" s="4">
        <v>74</v>
      </c>
      <c r="R236" s="4">
        <v>35</v>
      </c>
      <c r="S236" s="4">
        <v>603</v>
      </c>
      <c r="T236" s="4">
        <v>83</v>
      </c>
      <c r="U236" s="4">
        <v>26</v>
      </c>
      <c r="V236" s="4">
        <v>407</v>
      </c>
      <c r="W236" s="4">
        <v>340.5</v>
      </c>
      <c r="X236" s="4">
        <v>9</v>
      </c>
      <c r="Y236" s="4">
        <v>226</v>
      </c>
      <c r="Z236" s="4">
        <v>207</v>
      </c>
      <c r="AA236" s="4">
        <v>37</v>
      </c>
      <c r="AB236" s="4">
        <v>665</v>
      </c>
      <c r="AC236" s="4">
        <v>547.5</v>
      </c>
      <c r="AD236" s="4">
        <v>24</v>
      </c>
      <c r="AE236" s="4">
        <v>461</v>
      </c>
    </row>
  </sheetData>
  <mergeCells count="649">
    <mergeCell ref="AC2:AE2"/>
    <mergeCell ref="C2:C3"/>
    <mergeCell ref="D2:D3"/>
    <mergeCell ref="E2:G2"/>
    <mergeCell ref="H2:J2"/>
    <mergeCell ref="K2:M2"/>
    <mergeCell ref="N2:P2"/>
    <mergeCell ref="C226:C227"/>
    <mergeCell ref="D226:D227"/>
    <mergeCell ref="E226:G226"/>
    <mergeCell ref="H226:J226"/>
    <mergeCell ref="C46:C47"/>
    <mergeCell ref="Q2:S2"/>
    <mergeCell ref="T2:V2"/>
    <mergeCell ref="W2:Y2"/>
    <mergeCell ref="Z2:AB2"/>
    <mergeCell ref="D46:D47"/>
    <mergeCell ref="E46:G46"/>
    <mergeCell ref="H46:J46"/>
    <mergeCell ref="K46:M46"/>
    <mergeCell ref="N62:P62"/>
    <mergeCell ref="C166:C167"/>
    <mergeCell ref="D166:D167"/>
    <mergeCell ref="E166:G166"/>
    <mergeCell ref="H166:J166"/>
    <mergeCell ref="N74:P74"/>
    <mergeCell ref="Q62:S62"/>
    <mergeCell ref="T62:V62"/>
    <mergeCell ref="W62:Y62"/>
    <mergeCell ref="Z62:AB62"/>
    <mergeCell ref="AC62:AE62"/>
    <mergeCell ref="C98:C99"/>
    <mergeCell ref="D98:D99"/>
    <mergeCell ref="E98:G98"/>
    <mergeCell ref="H98:J98"/>
    <mergeCell ref="Q14:S14"/>
    <mergeCell ref="T14:V14"/>
    <mergeCell ref="W14:Y14"/>
    <mergeCell ref="W110:Y110"/>
    <mergeCell ref="Z110:AB110"/>
    <mergeCell ref="AC110:AE110"/>
    <mergeCell ref="C110:C111"/>
    <mergeCell ref="D110:D111"/>
    <mergeCell ref="E110:G110"/>
    <mergeCell ref="H110:J110"/>
    <mergeCell ref="K110:M110"/>
    <mergeCell ref="N110:P110"/>
    <mergeCell ref="Q110:S110"/>
    <mergeCell ref="T110:V110"/>
    <mergeCell ref="Q74:S74"/>
    <mergeCell ref="T74:V74"/>
    <mergeCell ref="W74:Y74"/>
    <mergeCell ref="Z74:AB74"/>
    <mergeCell ref="AC74:AE74"/>
    <mergeCell ref="Q38:S38"/>
    <mergeCell ref="T38:V38"/>
    <mergeCell ref="W38:Y38"/>
    <mergeCell ref="Z38:AB38"/>
    <mergeCell ref="AC38:AE38"/>
    <mergeCell ref="N50:P50"/>
    <mergeCell ref="Q50:S50"/>
    <mergeCell ref="T50:V50"/>
    <mergeCell ref="W50:Y50"/>
    <mergeCell ref="Z50:AB50"/>
    <mergeCell ref="AC50:AE50"/>
    <mergeCell ref="C50:C51"/>
    <mergeCell ref="D50:D51"/>
    <mergeCell ref="E50:G50"/>
    <mergeCell ref="H50:J50"/>
    <mergeCell ref="K50:M50"/>
    <mergeCell ref="C86:C87"/>
    <mergeCell ref="D86:D87"/>
    <mergeCell ref="E86:G86"/>
    <mergeCell ref="H86:J86"/>
    <mergeCell ref="K86:M86"/>
    <mergeCell ref="C62:C63"/>
    <mergeCell ref="D62:D63"/>
    <mergeCell ref="E62:G62"/>
    <mergeCell ref="H62:J62"/>
    <mergeCell ref="K62:M62"/>
    <mergeCell ref="C74:C75"/>
    <mergeCell ref="D74:D75"/>
    <mergeCell ref="E74:G74"/>
    <mergeCell ref="H74:J74"/>
    <mergeCell ref="K74:M74"/>
    <mergeCell ref="AC98:AE98"/>
    <mergeCell ref="K98:M98"/>
    <mergeCell ref="N98:P98"/>
    <mergeCell ref="Q98:S98"/>
    <mergeCell ref="T98:V98"/>
    <mergeCell ref="W98:Y98"/>
    <mergeCell ref="Z98:AB98"/>
    <mergeCell ref="N86:P86"/>
    <mergeCell ref="Q86:S86"/>
    <mergeCell ref="T86:V86"/>
    <mergeCell ref="W86:Y86"/>
    <mergeCell ref="Z86:AB86"/>
    <mergeCell ref="AC86:AE86"/>
    <mergeCell ref="H170:J170"/>
    <mergeCell ref="K170:M170"/>
    <mergeCell ref="N170:P170"/>
    <mergeCell ref="N158:P158"/>
    <mergeCell ref="Q158:S158"/>
    <mergeCell ref="T158:V158"/>
    <mergeCell ref="W158:Y158"/>
    <mergeCell ref="Z158:AB158"/>
    <mergeCell ref="AC158:AE158"/>
    <mergeCell ref="H158:J158"/>
    <mergeCell ref="K158:M158"/>
    <mergeCell ref="C230:C231"/>
    <mergeCell ref="D230:D231"/>
    <mergeCell ref="E230:G230"/>
    <mergeCell ref="H230:J230"/>
    <mergeCell ref="K230:M230"/>
    <mergeCell ref="W206:Y206"/>
    <mergeCell ref="Z206:AB206"/>
    <mergeCell ref="AC206:AE206"/>
    <mergeCell ref="Z194:AB194"/>
    <mergeCell ref="AC194:AE194"/>
    <mergeCell ref="C206:C207"/>
    <mergeCell ref="D206:D207"/>
    <mergeCell ref="E206:G206"/>
    <mergeCell ref="H206:J206"/>
    <mergeCell ref="K206:M206"/>
    <mergeCell ref="N206:P206"/>
    <mergeCell ref="Q206:S206"/>
    <mergeCell ref="T206:V206"/>
    <mergeCell ref="C194:C195"/>
    <mergeCell ref="D194:D195"/>
    <mergeCell ref="E194:G194"/>
    <mergeCell ref="H194:J194"/>
    <mergeCell ref="K194:M194"/>
    <mergeCell ref="N194:P194"/>
    <mergeCell ref="W6:Y6"/>
    <mergeCell ref="Z6:AB6"/>
    <mergeCell ref="AC6:AE6"/>
    <mergeCell ref="C10:C11"/>
    <mergeCell ref="D10:D11"/>
    <mergeCell ref="E10:G10"/>
    <mergeCell ref="H10:J10"/>
    <mergeCell ref="K10:M10"/>
    <mergeCell ref="N10:P10"/>
    <mergeCell ref="Q10:S10"/>
    <mergeCell ref="C6:C7"/>
    <mergeCell ref="D6:D7"/>
    <mergeCell ref="E6:G6"/>
    <mergeCell ref="H6:J6"/>
    <mergeCell ref="K6:M6"/>
    <mergeCell ref="N6:P6"/>
    <mergeCell ref="Q6:S6"/>
    <mergeCell ref="T6:V6"/>
    <mergeCell ref="AC18:AE18"/>
    <mergeCell ref="C22:C23"/>
    <mergeCell ref="D22:D23"/>
    <mergeCell ref="E22:G22"/>
    <mergeCell ref="H22:J22"/>
    <mergeCell ref="K22:M22"/>
    <mergeCell ref="T10:V10"/>
    <mergeCell ref="W10:Y10"/>
    <mergeCell ref="Z10:AB10"/>
    <mergeCell ref="AC10:AE10"/>
    <mergeCell ref="C18:C19"/>
    <mergeCell ref="D18:D19"/>
    <mergeCell ref="E18:G18"/>
    <mergeCell ref="H18:J18"/>
    <mergeCell ref="K18:M18"/>
    <mergeCell ref="N18:P18"/>
    <mergeCell ref="Z14:AB14"/>
    <mergeCell ref="AC14:AE14"/>
    <mergeCell ref="C14:C15"/>
    <mergeCell ref="D14:D15"/>
    <mergeCell ref="E14:G14"/>
    <mergeCell ref="H14:J14"/>
    <mergeCell ref="K14:M14"/>
    <mergeCell ref="N14:P14"/>
    <mergeCell ref="C30:C31"/>
    <mergeCell ref="D30:D31"/>
    <mergeCell ref="E30:G30"/>
    <mergeCell ref="H30:J30"/>
    <mergeCell ref="K30:M30"/>
    <mergeCell ref="Q18:S18"/>
    <mergeCell ref="T18:V18"/>
    <mergeCell ref="W18:Y18"/>
    <mergeCell ref="Z18:AB18"/>
    <mergeCell ref="W26:Y26"/>
    <mergeCell ref="Z26:AB26"/>
    <mergeCell ref="C26:C27"/>
    <mergeCell ref="D26:D27"/>
    <mergeCell ref="E26:G26"/>
    <mergeCell ref="H26:J26"/>
    <mergeCell ref="K26:M26"/>
    <mergeCell ref="N26:P26"/>
    <mergeCell ref="Q26:S26"/>
    <mergeCell ref="T26:V26"/>
    <mergeCell ref="N22:P22"/>
    <mergeCell ref="N30:P30"/>
    <mergeCell ref="Q30:S30"/>
    <mergeCell ref="T30:V30"/>
    <mergeCell ref="W30:Y30"/>
    <mergeCell ref="Z30:AB30"/>
    <mergeCell ref="AC30:AE30"/>
    <mergeCell ref="Q22:S22"/>
    <mergeCell ref="T22:V22"/>
    <mergeCell ref="W22:Y22"/>
    <mergeCell ref="Z22:AB22"/>
    <mergeCell ref="AC22:AE22"/>
    <mergeCell ref="AC26:AE26"/>
    <mergeCell ref="Q34:S34"/>
    <mergeCell ref="T34:V34"/>
    <mergeCell ref="W34:Y34"/>
    <mergeCell ref="Z34:AB34"/>
    <mergeCell ref="AC34:AE34"/>
    <mergeCell ref="C42:C43"/>
    <mergeCell ref="D42:D43"/>
    <mergeCell ref="E42:G42"/>
    <mergeCell ref="H42:J42"/>
    <mergeCell ref="K42:M42"/>
    <mergeCell ref="C34:C35"/>
    <mergeCell ref="D34:D35"/>
    <mergeCell ref="E34:G34"/>
    <mergeCell ref="H34:J34"/>
    <mergeCell ref="K34:M34"/>
    <mergeCell ref="N34:P34"/>
    <mergeCell ref="C38:C39"/>
    <mergeCell ref="D38:D39"/>
    <mergeCell ref="E38:G38"/>
    <mergeCell ref="H38:J38"/>
    <mergeCell ref="K38:M38"/>
    <mergeCell ref="N38:P38"/>
    <mergeCell ref="N46:P46"/>
    <mergeCell ref="Q46:S46"/>
    <mergeCell ref="T46:V46"/>
    <mergeCell ref="W46:Y46"/>
    <mergeCell ref="Z46:AB46"/>
    <mergeCell ref="AC46:AE46"/>
    <mergeCell ref="N42:P42"/>
    <mergeCell ref="Q42:S42"/>
    <mergeCell ref="T42:V42"/>
    <mergeCell ref="W42:Y42"/>
    <mergeCell ref="Z42:AB42"/>
    <mergeCell ref="AC42:AE42"/>
    <mergeCell ref="C58:C59"/>
    <mergeCell ref="D58:D59"/>
    <mergeCell ref="E58:G58"/>
    <mergeCell ref="H58:J58"/>
    <mergeCell ref="K58:M58"/>
    <mergeCell ref="C54:C55"/>
    <mergeCell ref="D54:D55"/>
    <mergeCell ref="E54:G54"/>
    <mergeCell ref="H54:J54"/>
    <mergeCell ref="K54:M54"/>
    <mergeCell ref="N58:P58"/>
    <mergeCell ref="Q58:S58"/>
    <mergeCell ref="T58:V58"/>
    <mergeCell ref="W58:Y58"/>
    <mergeCell ref="Z58:AB58"/>
    <mergeCell ref="AC58:AE58"/>
    <mergeCell ref="Q54:S54"/>
    <mergeCell ref="T54:V54"/>
    <mergeCell ref="W54:Y54"/>
    <mergeCell ref="Z54:AB54"/>
    <mergeCell ref="AC54:AE54"/>
    <mergeCell ref="N54:P54"/>
    <mergeCell ref="C70:C71"/>
    <mergeCell ref="D70:D71"/>
    <mergeCell ref="E70:G70"/>
    <mergeCell ref="H70:J70"/>
    <mergeCell ref="K70:M70"/>
    <mergeCell ref="C66:C67"/>
    <mergeCell ref="D66:D67"/>
    <mergeCell ref="E66:G66"/>
    <mergeCell ref="H66:J66"/>
    <mergeCell ref="K66:M66"/>
    <mergeCell ref="N70:P70"/>
    <mergeCell ref="Q70:S70"/>
    <mergeCell ref="T70:V70"/>
    <mergeCell ref="W70:Y70"/>
    <mergeCell ref="Z70:AB70"/>
    <mergeCell ref="AC70:AE70"/>
    <mergeCell ref="Q66:S66"/>
    <mergeCell ref="T66:V66"/>
    <mergeCell ref="W66:Y66"/>
    <mergeCell ref="Z66:AB66"/>
    <mergeCell ref="AC66:AE66"/>
    <mergeCell ref="N66:P66"/>
    <mergeCell ref="C82:C83"/>
    <mergeCell ref="D82:D83"/>
    <mergeCell ref="E82:G82"/>
    <mergeCell ref="H82:J82"/>
    <mergeCell ref="K82:M82"/>
    <mergeCell ref="C78:C79"/>
    <mergeCell ref="D78:D79"/>
    <mergeCell ref="E78:G78"/>
    <mergeCell ref="H78:J78"/>
    <mergeCell ref="K78:M78"/>
    <mergeCell ref="N82:P82"/>
    <mergeCell ref="Q82:S82"/>
    <mergeCell ref="T82:V82"/>
    <mergeCell ref="W82:Y82"/>
    <mergeCell ref="Z82:AB82"/>
    <mergeCell ref="AC82:AE82"/>
    <mergeCell ref="Q78:S78"/>
    <mergeCell ref="T78:V78"/>
    <mergeCell ref="W78:Y78"/>
    <mergeCell ref="Z78:AB78"/>
    <mergeCell ref="AC78:AE78"/>
    <mergeCell ref="N78:P78"/>
    <mergeCell ref="C94:C95"/>
    <mergeCell ref="D94:D95"/>
    <mergeCell ref="E94:G94"/>
    <mergeCell ref="H94:J94"/>
    <mergeCell ref="K94:M94"/>
    <mergeCell ref="C90:C91"/>
    <mergeCell ref="D90:D91"/>
    <mergeCell ref="E90:G90"/>
    <mergeCell ref="H90:J90"/>
    <mergeCell ref="K90:M90"/>
    <mergeCell ref="N94:P94"/>
    <mergeCell ref="Q94:S94"/>
    <mergeCell ref="T94:V94"/>
    <mergeCell ref="W94:Y94"/>
    <mergeCell ref="Z94:AB94"/>
    <mergeCell ref="AC94:AE94"/>
    <mergeCell ref="Q90:S90"/>
    <mergeCell ref="T90:V90"/>
    <mergeCell ref="W90:Y90"/>
    <mergeCell ref="Z90:AB90"/>
    <mergeCell ref="AC90:AE90"/>
    <mergeCell ref="N90:P90"/>
    <mergeCell ref="C106:C107"/>
    <mergeCell ref="D106:D107"/>
    <mergeCell ref="E106:G106"/>
    <mergeCell ref="H106:J106"/>
    <mergeCell ref="K106:M106"/>
    <mergeCell ref="C102:C103"/>
    <mergeCell ref="D102:D103"/>
    <mergeCell ref="E102:G102"/>
    <mergeCell ref="H102:J102"/>
    <mergeCell ref="K102:M102"/>
    <mergeCell ref="N106:P106"/>
    <mergeCell ref="Q106:S106"/>
    <mergeCell ref="T106:V106"/>
    <mergeCell ref="W106:Y106"/>
    <mergeCell ref="Z106:AB106"/>
    <mergeCell ref="AC106:AE106"/>
    <mergeCell ref="Q102:S102"/>
    <mergeCell ref="T102:V102"/>
    <mergeCell ref="W102:Y102"/>
    <mergeCell ref="Z102:AB102"/>
    <mergeCell ref="AC102:AE102"/>
    <mergeCell ref="N102:P102"/>
    <mergeCell ref="AC114:AE114"/>
    <mergeCell ref="C118:C119"/>
    <mergeCell ref="D118:D119"/>
    <mergeCell ref="E118:G118"/>
    <mergeCell ref="H118:J118"/>
    <mergeCell ref="K118:M118"/>
    <mergeCell ref="C114:C115"/>
    <mergeCell ref="D114:D115"/>
    <mergeCell ref="E114:G114"/>
    <mergeCell ref="H114:J114"/>
    <mergeCell ref="K114:M114"/>
    <mergeCell ref="N114:P114"/>
    <mergeCell ref="N118:P118"/>
    <mergeCell ref="C126:C127"/>
    <mergeCell ref="D126:D127"/>
    <mergeCell ref="E126:G126"/>
    <mergeCell ref="H126:J126"/>
    <mergeCell ref="K126:M126"/>
    <mergeCell ref="Q114:S114"/>
    <mergeCell ref="T114:V114"/>
    <mergeCell ref="W114:Y114"/>
    <mergeCell ref="Z114:AB114"/>
    <mergeCell ref="C122:C123"/>
    <mergeCell ref="D122:D123"/>
    <mergeCell ref="E122:G122"/>
    <mergeCell ref="H122:J122"/>
    <mergeCell ref="K122:M122"/>
    <mergeCell ref="N122:P122"/>
    <mergeCell ref="Q122:S122"/>
    <mergeCell ref="T122:V122"/>
    <mergeCell ref="W122:Y122"/>
    <mergeCell ref="Z122:AB122"/>
    <mergeCell ref="N126:P126"/>
    <mergeCell ref="Q126:S126"/>
    <mergeCell ref="T126:V126"/>
    <mergeCell ref="W126:Y126"/>
    <mergeCell ref="Z126:AB126"/>
    <mergeCell ref="AC126:AE126"/>
    <mergeCell ref="Q118:S118"/>
    <mergeCell ref="T118:V118"/>
    <mergeCell ref="W118:Y118"/>
    <mergeCell ref="Z118:AB118"/>
    <mergeCell ref="AC118:AE118"/>
    <mergeCell ref="AC122:AE122"/>
    <mergeCell ref="C138:C139"/>
    <mergeCell ref="D138:D139"/>
    <mergeCell ref="E138:G138"/>
    <mergeCell ref="H138:J138"/>
    <mergeCell ref="K138:M138"/>
    <mergeCell ref="C130:C131"/>
    <mergeCell ref="D130:D131"/>
    <mergeCell ref="E130:G130"/>
    <mergeCell ref="H130:J130"/>
    <mergeCell ref="K130:M130"/>
    <mergeCell ref="C134:C135"/>
    <mergeCell ref="D134:D135"/>
    <mergeCell ref="E134:G134"/>
    <mergeCell ref="H134:J134"/>
    <mergeCell ref="K134:M134"/>
    <mergeCell ref="N138:P138"/>
    <mergeCell ref="Q138:S138"/>
    <mergeCell ref="T138:V138"/>
    <mergeCell ref="W138:Y138"/>
    <mergeCell ref="Z138:AB138"/>
    <mergeCell ref="AC138:AE138"/>
    <mergeCell ref="Q130:S130"/>
    <mergeCell ref="T130:V130"/>
    <mergeCell ref="W130:Y130"/>
    <mergeCell ref="Z130:AB130"/>
    <mergeCell ref="AC130:AE130"/>
    <mergeCell ref="N130:P130"/>
    <mergeCell ref="Q134:S134"/>
    <mergeCell ref="T134:V134"/>
    <mergeCell ref="W134:Y134"/>
    <mergeCell ref="Z134:AB134"/>
    <mergeCell ref="AC134:AE134"/>
    <mergeCell ref="N134:P134"/>
    <mergeCell ref="C150:C151"/>
    <mergeCell ref="D150:D151"/>
    <mergeCell ref="E150:G150"/>
    <mergeCell ref="H150:J150"/>
    <mergeCell ref="K150:M150"/>
    <mergeCell ref="C142:C143"/>
    <mergeCell ref="D142:D143"/>
    <mergeCell ref="E142:G142"/>
    <mergeCell ref="H142:J142"/>
    <mergeCell ref="K142:M142"/>
    <mergeCell ref="C146:C147"/>
    <mergeCell ref="D146:D147"/>
    <mergeCell ref="E146:G146"/>
    <mergeCell ref="H146:J146"/>
    <mergeCell ref="K146:M146"/>
    <mergeCell ref="N150:P150"/>
    <mergeCell ref="Q150:S150"/>
    <mergeCell ref="T150:V150"/>
    <mergeCell ref="W150:Y150"/>
    <mergeCell ref="Z150:AB150"/>
    <mergeCell ref="AC150:AE150"/>
    <mergeCell ref="Q142:S142"/>
    <mergeCell ref="T142:V142"/>
    <mergeCell ref="W142:Y142"/>
    <mergeCell ref="Z142:AB142"/>
    <mergeCell ref="AC142:AE142"/>
    <mergeCell ref="N142:P142"/>
    <mergeCell ref="Q146:S146"/>
    <mergeCell ref="T146:V146"/>
    <mergeCell ref="W146:Y146"/>
    <mergeCell ref="Z146:AB146"/>
    <mergeCell ref="AC146:AE146"/>
    <mergeCell ref="N146:P146"/>
    <mergeCell ref="C162:C163"/>
    <mergeCell ref="D162:D163"/>
    <mergeCell ref="E162:G162"/>
    <mergeCell ref="H162:J162"/>
    <mergeCell ref="K162:M162"/>
    <mergeCell ref="C154:C155"/>
    <mergeCell ref="D154:D155"/>
    <mergeCell ref="E154:G154"/>
    <mergeCell ref="H154:J154"/>
    <mergeCell ref="K154:M154"/>
    <mergeCell ref="C158:C159"/>
    <mergeCell ref="D158:D159"/>
    <mergeCell ref="E158:G158"/>
    <mergeCell ref="N162:P162"/>
    <mergeCell ref="Q162:S162"/>
    <mergeCell ref="T162:V162"/>
    <mergeCell ref="W162:Y162"/>
    <mergeCell ref="Z162:AB162"/>
    <mergeCell ref="AC162:AE162"/>
    <mergeCell ref="Q154:S154"/>
    <mergeCell ref="T154:V154"/>
    <mergeCell ref="W154:Y154"/>
    <mergeCell ref="Z154:AB154"/>
    <mergeCell ref="AC154:AE154"/>
    <mergeCell ref="N154:P154"/>
    <mergeCell ref="AC166:AE166"/>
    <mergeCell ref="C174:C175"/>
    <mergeCell ref="D174:D175"/>
    <mergeCell ref="E174:G174"/>
    <mergeCell ref="H174:J174"/>
    <mergeCell ref="K174:M174"/>
    <mergeCell ref="N174:P174"/>
    <mergeCell ref="Q174:S174"/>
    <mergeCell ref="T174:V174"/>
    <mergeCell ref="W174:Y174"/>
    <mergeCell ref="K166:M166"/>
    <mergeCell ref="N166:P166"/>
    <mergeCell ref="Q166:S166"/>
    <mergeCell ref="T166:V166"/>
    <mergeCell ref="W166:Y166"/>
    <mergeCell ref="Z166:AB166"/>
    <mergeCell ref="Q170:S170"/>
    <mergeCell ref="T170:V170"/>
    <mergeCell ref="W170:Y170"/>
    <mergeCell ref="Z170:AB170"/>
    <mergeCell ref="AC170:AE170"/>
    <mergeCell ref="C170:C171"/>
    <mergeCell ref="D170:D171"/>
    <mergeCell ref="E170:G170"/>
    <mergeCell ref="Z174:AB174"/>
    <mergeCell ref="AC174:AE174"/>
    <mergeCell ref="C178:C179"/>
    <mergeCell ref="D178:D179"/>
    <mergeCell ref="E178:G178"/>
    <mergeCell ref="H178:J178"/>
    <mergeCell ref="K178:M178"/>
    <mergeCell ref="N178:P178"/>
    <mergeCell ref="Q178:S178"/>
    <mergeCell ref="T178:V178"/>
    <mergeCell ref="W178:Y178"/>
    <mergeCell ref="Z178:AB178"/>
    <mergeCell ref="AC178:AE178"/>
    <mergeCell ref="C186:C187"/>
    <mergeCell ref="D186:D187"/>
    <mergeCell ref="E186:G186"/>
    <mergeCell ref="H186:J186"/>
    <mergeCell ref="K186:M186"/>
    <mergeCell ref="N186:P186"/>
    <mergeCell ref="Q186:S186"/>
    <mergeCell ref="N182:P182"/>
    <mergeCell ref="Q182:S182"/>
    <mergeCell ref="T182:V182"/>
    <mergeCell ref="W182:Y182"/>
    <mergeCell ref="Z182:AB182"/>
    <mergeCell ref="AC182:AE182"/>
    <mergeCell ref="C182:C183"/>
    <mergeCell ref="D182:D183"/>
    <mergeCell ref="E182:G182"/>
    <mergeCell ref="H182:J182"/>
    <mergeCell ref="K182:M182"/>
    <mergeCell ref="C198:C199"/>
    <mergeCell ref="D198:D199"/>
    <mergeCell ref="E198:G198"/>
    <mergeCell ref="H198:J198"/>
    <mergeCell ref="K198:M198"/>
    <mergeCell ref="T186:V186"/>
    <mergeCell ref="W186:Y186"/>
    <mergeCell ref="Z186:AB186"/>
    <mergeCell ref="AC186:AE186"/>
    <mergeCell ref="C190:C191"/>
    <mergeCell ref="D190:D191"/>
    <mergeCell ref="E190:G190"/>
    <mergeCell ref="H190:J190"/>
    <mergeCell ref="K190:M190"/>
    <mergeCell ref="N190:P190"/>
    <mergeCell ref="Q194:S194"/>
    <mergeCell ref="T194:V194"/>
    <mergeCell ref="W194:Y194"/>
    <mergeCell ref="N198:P198"/>
    <mergeCell ref="Q198:S198"/>
    <mergeCell ref="T198:V198"/>
    <mergeCell ref="W198:Y198"/>
    <mergeCell ref="Z198:AB198"/>
    <mergeCell ref="AC198:AE198"/>
    <mergeCell ref="Q190:S190"/>
    <mergeCell ref="T190:V190"/>
    <mergeCell ref="W190:Y190"/>
    <mergeCell ref="Z190:AB190"/>
    <mergeCell ref="AC190:AE190"/>
    <mergeCell ref="C210:C211"/>
    <mergeCell ref="D210:D211"/>
    <mergeCell ref="E210:G210"/>
    <mergeCell ref="H210:J210"/>
    <mergeCell ref="K210:M210"/>
    <mergeCell ref="C202:C203"/>
    <mergeCell ref="D202:D203"/>
    <mergeCell ref="E202:G202"/>
    <mergeCell ref="H202:J202"/>
    <mergeCell ref="K202:M202"/>
    <mergeCell ref="N210:P210"/>
    <mergeCell ref="Q210:S210"/>
    <mergeCell ref="T210:V210"/>
    <mergeCell ref="W210:Y210"/>
    <mergeCell ref="Z210:AB210"/>
    <mergeCell ref="AC210:AE210"/>
    <mergeCell ref="Q202:S202"/>
    <mergeCell ref="T202:V202"/>
    <mergeCell ref="W202:Y202"/>
    <mergeCell ref="Z202:AB202"/>
    <mergeCell ref="AC202:AE202"/>
    <mergeCell ref="N202:P202"/>
    <mergeCell ref="C222:C223"/>
    <mergeCell ref="D222:D223"/>
    <mergeCell ref="E222:G222"/>
    <mergeCell ref="H222:J222"/>
    <mergeCell ref="K222:M222"/>
    <mergeCell ref="C214:C215"/>
    <mergeCell ref="D214:D215"/>
    <mergeCell ref="E214:G214"/>
    <mergeCell ref="H214:J214"/>
    <mergeCell ref="K214:M214"/>
    <mergeCell ref="C218:C219"/>
    <mergeCell ref="D218:D219"/>
    <mergeCell ref="E218:G218"/>
    <mergeCell ref="H218:J218"/>
    <mergeCell ref="K218:M218"/>
    <mergeCell ref="N222:P222"/>
    <mergeCell ref="Q222:S222"/>
    <mergeCell ref="T222:V222"/>
    <mergeCell ref="W222:Y222"/>
    <mergeCell ref="Z222:AB222"/>
    <mergeCell ref="AC222:AE222"/>
    <mergeCell ref="Q214:S214"/>
    <mergeCell ref="T214:V214"/>
    <mergeCell ref="W214:Y214"/>
    <mergeCell ref="Z214:AB214"/>
    <mergeCell ref="AC214:AE214"/>
    <mergeCell ref="N214:P214"/>
    <mergeCell ref="N218:P218"/>
    <mergeCell ref="Q218:S218"/>
    <mergeCell ref="T218:V218"/>
    <mergeCell ref="W218:Y218"/>
    <mergeCell ref="Z218:AB218"/>
    <mergeCell ref="AC218:AE218"/>
    <mergeCell ref="Z234:AB234"/>
    <mergeCell ref="AC234:AE234"/>
    <mergeCell ref="AC226:AE226"/>
    <mergeCell ref="C234:C235"/>
    <mergeCell ref="D234:D235"/>
    <mergeCell ref="E234:G234"/>
    <mergeCell ref="H234:J234"/>
    <mergeCell ref="K234:M234"/>
    <mergeCell ref="N234:P234"/>
    <mergeCell ref="Q234:S234"/>
    <mergeCell ref="T234:V234"/>
    <mergeCell ref="W234:Y234"/>
    <mergeCell ref="K226:M226"/>
    <mergeCell ref="N226:P226"/>
    <mergeCell ref="Q226:S226"/>
    <mergeCell ref="T226:V226"/>
    <mergeCell ref="W226:Y226"/>
    <mergeCell ref="Z226:AB226"/>
    <mergeCell ref="N230:P230"/>
    <mergeCell ref="Q230:S230"/>
    <mergeCell ref="T230:V230"/>
    <mergeCell ref="W230:Y230"/>
    <mergeCell ref="Z230:AB230"/>
    <mergeCell ref="AC230:AE230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导入数据</vt:lpstr>
      <vt:lpstr>控制面板</vt:lpstr>
      <vt:lpstr>缓存</vt:lpstr>
      <vt:lpstr>成绩条</vt:lpstr>
      <vt:lpstr>成绩条!Print_Area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欧纪阳</dc:creator>
  <cp:lastModifiedBy>欧纪阳</cp:lastModifiedBy>
  <cp:lastPrinted>2020-06-11T14:24:46Z</cp:lastPrinted>
  <dcterms:created xsi:type="dcterms:W3CDTF">2020-06-11T11:16:44Z</dcterms:created>
  <dcterms:modified xsi:type="dcterms:W3CDTF">2020-06-13T07:02:48Z</dcterms:modified>
</cp:coreProperties>
</file>