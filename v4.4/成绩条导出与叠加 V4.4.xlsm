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D:\WORK\GitHub\Transcripts-Distributor\v4.4\"/>
    </mc:Choice>
  </mc:AlternateContent>
  <xr:revisionPtr revIDLastSave="0" documentId="13_ncr:1_{8224497F-FEB8-4CAF-AB48-1CBDBB02AF89}" xr6:coauthVersionLast="45" xr6:coauthVersionMax="45" xr10:uidLastSave="{00000000-0000-0000-0000-000000000000}"/>
  <bookViews>
    <workbookView xWindow="-96" yWindow="-96" windowWidth="23232" windowHeight="12552" activeTab="1" xr2:uid="{93B60B92-88B5-4069-B646-A36B28750028}"/>
  </bookViews>
  <sheets>
    <sheet name="导入数据" sheetId="1" r:id="rId1"/>
    <sheet name="控制面板" sheetId="3" r:id="rId2"/>
    <sheet name="缓存" sheetId="6" r:id="rId3"/>
    <sheet name="成绩条" sheetId="30" r:id="rId4"/>
  </sheets>
  <definedNames>
    <definedName name="_xlnm.Print_Area" localSheetId="3">成绩条!$C:$AE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4" i="3" l="1"/>
  <c r="C13" i="3"/>
  <c r="C12" i="3"/>
  <c r="C15" i="3"/>
</calcChain>
</file>

<file path=xl/sharedStrings.xml><?xml version="1.0" encoding="utf-8"?>
<sst xmlns="http://schemas.openxmlformats.org/spreadsheetml/2006/main" count="2529" uniqueCount="87">
  <si>
    <t>学号</t>
  </si>
  <si>
    <t>语文</t>
  </si>
  <si>
    <t>数学</t>
  </si>
  <si>
    <t>英语</t>
  </si>
  <si>
    <t>物理</t>
  </si>
  <si>
    <t>化学</t>
  </si>
  <si>
    <t>生物</t>
  </si>
  <si>
    <t>三主科</t>
  </si>
  <si>
    <t>理综</t>
  </si>
  <si>
    <t>成绩</t>
    <phoneticPr fontId="1" type="noConversion"/>
  </si>
  <si>
    <t>班排</t>
    <phoneticPr fontId="1" type="noConversion"/>
  </si>
  <si>
    <t>年排</t>
    <phoneticPr fontId="1" type="noConversion"/>
  </si>
  <si>
    <t>总分</t>
    <phoneticPr fontId="2" type="noConversion"/>
  </si>
  <si>
    <t>班排</t>
    <phoneticPr fontId="2" type="noConversion"/>
  </si>
  <si>
    <t>学生1</t>
    <phoneticPr fontId="1" type="noConversion"/>
  </si>
  <si>
    <t>学生2</t>
  </si>
  <si>
    <t>学生3</t>
  </si>
  <si>
    <t>学生4</t>
  </si>
  <si>
    <t>学生5</t>
  </si>
  <si>
    <t>学生6</t>
  </si>
  <si>
    <t>学生7</t>
  </si>
  <si>
    <t>学生8</t>
  </si>
  <si>
    <t>学生9</t>
  </si>
  <si>
    <t>学生10</t>
  </si>
  <si>
    <t>学生11</t>
  </si>
  <si>
    <t>学生12</t>
  </si>
  <si>
    <t>学生13</t>
  </si>
  <si>
    <t>学生14</t>
  </si>
  <si>
    <t>学生15</t>
  </si>
  <si>
    <t>学生16</t>
  </si>
  <si>
    <t>学生17</t>
  </si>
  <si>
    <t>学生18</t>
  </si>
  <si>
    <t>学生19</t>
  </si>
  <si>
    <t>学生20</t>
  </si>
  <si>
    <t>学生21</t>
  </si>
  <si>
    <t>学生22</t>
  </si>
  <si>
    <t>学生23</t>
  </si>
  <si>
    <t>学生24</t>
  </si>
  <si>
    <t>学生25</t>
  </si>
  <si>
    <t>学生26</t>
  </si>
  <si>
    <t>学生27</t>
  </si>
  <si>
    <t>学生28</t>
  </si>
  <si>
    <t>学生29</t>
  </si>
  <si>
    <t>学生30</t>
  </si>
  <si>
    <t>学生31</t>
  </si>
  <si>
    <t>学生32</t>
  </si>
  <si>
    <t>学生33</t>
  </si>
  <si>
    <t>学生34</t>
  </si>
  <si>
    <t>学生35</t>
  </si>
  <si>
    <t>学生36</t>
  </si>
  <si>
    <t>学生37</t>
  </si>
  <si>
    <t>学生38</t>
  </si>
  <si>
    <t>学生39</t>
  </si>
  <si>
    <t>学生40</t>
  </si>
  <si>
    <t>学生41</t>
  </si>
  <si>
    <t>学生42</t>
  </si>
  <si>
    <t>学生43</t>
  </si>
  <si>
    <t>学生44</t>
  </si>
  <si>
    <t>学生45</t>
  </si>
  <si>
    <t>学生46</t>
  </si>
  <si>
    <t>学生47</t>
  </si>
  <si>
    <t>学生48</t>
  </si>
  <si>
    <t>学生49</t>
  </si>
  <si>
    <t>学生50</t>
  </si>
  <si>
    <t>学生51</t>
  </si>
  <si>
    <t>学生52</t>
  </si>
  <si>
    <t>学生53</t>
  </si>
  <si>
    <t>学生54</t>
  </si>
  <si>
    <t>学生55</t>
  </si>
  <si>
    <t>学生56</t>
  </si>
  <si>
    <t>学生57</t>
  </si>
  <si>
    <t>学生58</t>
  </si>
  <si>
    <t>学生59</t>
  </si>
  <si>
    <t>姓名</t>
    <phoneticPr fontId="1" type="noConversion"/>
  </si>
  <si>
    <t>表头行数</t>
    <phoneticPr fontId="1" type="noConversion"/>
  </si>
  <si>
    <t>总分</t>
    <phoneticPr fontId="1" type="noConversion"/>
  </si>
  <si>
    <t>写入次数</t>
    <phoneticPr fontId="1" type="noConversion"/>
  </si>
  <si>
    <t>导入行数</t>
    <phoneticPr fontId="1" type="noConversion"/>
  </si>
  <si>
    <t>导入列数</t>
    <phoneticPr fontId="1" type="noConversion"/>
  </si>
  <si>
    <t>输入参数</t>
    <phoneticPr fontId="1" type="noConversion"/>
  </si>
  <si>
    <t>数据条数</t>
    <phoneticPr fontId="1" type="noConversion"/>
  </si>
  <si>
    <t>导入检测</t>
    <phoneticPr fontId="1" type="noConversion"/>
  </si>
  <si>
    <t>输出检测</t>
    <phoneticPr fontId="1" type="noConversion"/>
  </si>
  <si>
    <t>输出列数</t>
    <phoneticPr fontId="1" type="noConversion"/>
  </si>
  <si>
    <r>
      <t>首次使用方法：
1.首次使用将学生成绩单导入到“导入数据”工作表中。
2.在“控制面板”工作表中的“表头行数”选项中填入刚刚导入表格的表头行数。
3.点击</t>
    </r>
    <r>
      <rPr>
        <b/>
        <sz val="12"/>
        <color theme="9"/>
        <rFont val="等线"/>
        <family val="3"/>
        <charset val="134"/>
        <scheme val="minor"/>
      </rPr>
      <t>绿色</t>
    </r>
    <r>
      <rPr>
        <sz val="12"/>
        <color theme="1"/>
        <rFont val="等线"/>
        <family val="3"/>
        <charset val="134"/>
        <scheme val="minor"/>
      </rPr>
      <t>按钮，系统会开始检测您导入的数据。请仔细</t>
    </r>
    <r>
      <rPr>
        <b/>
        <sz val="12"/>
        <color rgb="FFFF0000"/>
        <rFont val="等线"/>
        <family val="3"/>
        <charset val="134"/>
        <scheme val="minor"/>
      </rPr>
      <t>核对</t>
    </r>
    <r>
      <rPr>
        <sz val="12"/>
        <color theme="1"/>
        <rFont val="等线"/>
        <family val="3"/>
        <charset val="134"/>
        <scheme val="minor"/>
      </rPr>
      <t>“导入行数”、“导入列数”、“数据条数”是否正确，如果不正确，请手动手动输入。
4.如果制作单次成绩条，点击</t>
    </r>
    <r>
      <rPr>
        <b/>
        <sz val="12"/>
        <color theme="5"/>
        <rFont val="等线"/>
        <family val="3"/>
        <charset val="134"/>
        <scheme val="minor"/>
      </rPr>
      <t>橙色</t>
    </r>
    <r>
      <rPr>
        <sz val="12"/>
        <color theme="1"/>
        <rFont val="等线"/>
        <family val="3"/>
        <charset val="134"/>
        <scheme val="minor"/>
      </rPr>
      <t>按钮，即可完成制作
5.制作完成后系统会自动保存，您也可以把“成绩条”工作表进行备份，方便下次进行叠加。
多次叠加方法（表头必须一致）：
1.如果上一次制作的成绩条还保存在该工作表中，可在导入新数据之后，直接点击</t>
    </r>
    <r>
      <rPr>
        <b/>
        <sz val="12"/>
        <color theme="5"/>
        <rFont val="等线"/>
        <family val="3"/>
        <charset val="134"/>
        <scheme val="minor"/>
      </rPr>
      <t>橙色</t>
    </r>
    <r>
      <rPr>
        <sz val="12"/>
        <color theme="1"/>
        <rFont val="等线"/>
        <family val="3"/>
        <charset val="134"/>
        <scheme val="minor"/>
      </rPr>
      <t>按钮即可。
2.如果您把上一次制作的成绩条额外多出的话，请原封不动把整个工作表原封不动的放入该工作簿，并把该工作表命名为”成绩条“，导入新数据之后，点击</t>
    </r>
    <r>
      <rPr>
        <b/>
        <sz val="12"/>
        <color theme="5"/>
        <rFont val="等线"/>
        <family val="3"/>
        <charset val="134"/>
        <scheme val="minor"/>
      </rPr>
      <t>橙色</t>
    </r>
    <r>
      <rPr>
        <sz val="12"/>
        <color theme="1"/>
        <rFont val="等线"/>
        <family val="3"/>
        <charset val="134"/>
        <scheme val="minor"/>
      </rPr>
      <t>按钮即可。
温馨提示：
1.请使用Microsoft Office 2013及以上版本的电子表格程序打开此表格。
2.推荐使用订阅版的Microsoft office 365运行此表格。
3.任意版本的金山WPS软件或者其他公司出品的办公软件无法运行此程序，请您谅解。
4.在使用前请打开宏，你可以每次打开此表格后在工具栏下的“安全警告”中点击“启用内容”来打开宏，或者一次性在“文件”=&gt;“选项”=&gt;“信任中心”=&gt;"信任中心设置"=&gt;“宏设置”中把宏设置为启用。
异常处理：
1.您再次使用使用该程序导出单次成绩条时，如果因为表头行数与上一次相同，而不修改”表头行数“选项，在导入新数据后，请先点击</t>
    </r>
    <r>
      <rPr>
        <b/>
        <sz val="12"/>
        <color theme="4"/>
        <rFont val="等线"/>
        <family val="3"/>
        <charset val="134"/>
        <scheme val="minor"/>
      </rPr>
      <t>蓝色</t>
    </r>
    <r>
      <rPr>
        <sz val="12"/>
        <color theme="1"/>
        <rFont val="等线"/>
        <family val="3"/>
        <charset val="134"/>
        <scheme val="minor"/>
      </rPr>
      <t>按钮。
2.如果程序异常，请点击</t>
    </r>
    <r>
      <rPr>
        <b/>
        <sz val="12"/>
        <color theme="4"/>
        <rFont val="等线"/>
        <family val="3"/>
        <charset val="134"/>
        <scheme val="minor"/>
      </rPr>
      <t>蓝色</t>
    </r>
    <r>
      <rPr>
        <sz val="12"/>
        <color theme="1"/>
        <rFont val="等线"/>
        <family val="3"/>
        <charset val="134"/>
        <scheme val="minor"/>
      </rPr>
      <t>按钮重置系统。
额外说明：
1.导出的成绩条中，含有表头位置、表头长宽、写入次数等标记（A列、B列、1行），如果需要进行多次叠加，请</t>
    </r>
    <r>
      <rPr>
        <b/>
        <sz val="12"/>
        <color rgb="FFFF0000"/>
        <rFont val="等线"/>
        <family val="3"/>
        <charset val="134"/>
        <scheme val="minor"/>
      </rPr>
      <t>不要删除</t>
    </r>
    <r>
      <rPr>
        <sz val="12"/>
        <color theme="1"/>
        <rFont val="等线"/>
        <family val="3"/>
        <charset val="134"/>
        <scheme val="minor"/>
      </rPr>
      <t>这些标记，否则将导致程序异常。
2.一个工作表最多包含</t>
    </r>
    <r>
      <rPr>
        <b/>
        <sz val="12"/>
        <color rgb="FFFF0000"/>
        <rFont val="等线"/>
        <family val="3"/>
        <charset val="134"/>
        <scheme val="minor"/>
      </rPr>
      <t>1048576</t>
    </r>
    <r>
      <rPr>
        <sz val="12"/>
        <color theme="1"/>
        <rFont val="等线"/>
        <family val="3"/>
        <charset val="134"/>
        <scheme val="minor"/>
      </rPr>
      <t>行，最终导出的成绩条工作表行数=(表头行数+写入次数+1)×数据行数，请自行计算所需行数，以免发生</t>
    </r>
    <r>
      <rPr>
        <b/>
        <sz val="12"/>
        <color rgb="FFFF0000"/>
        <rFont val="等线"/>
        <family val="3"/>
        <charset val="134"/>
        <scheme val="minor"/>
      </rPr>
      <t>溢出</t>
    </r>
    <r>
      <rPr>
        <sz val="12"/>
        <color theme="1"/>
        <rFont val="等线"/>
        <family val="3"/>
        <charset val="134"/>
        <scheme val="minor"/>
      </rPr>
      <t>。</t>
    </r>
    <phoneticPr fontId="1" type="noConversion"/>
  </si>
  <si>
    <t>A</t>
  </si>
  <si>
    <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</si>
</sst>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Red]\(0\)"/>
    <numFmt numFmtId="177" formatCode="00"/>
  </numFmts>
  <fonts count="12" x14ac:knownFonts="1">
    <font>
      <sz val="11"/>
      <color theme="1"/>
      <name val="等线"/>
      <family val="2"/>
      <charset val="134"/>
      <scheme val="minor"/>
    </font>
    <font>
      <sz val="9"/>
      <name val="等线"/>
      <family val="2"/>
      <charset val="134"/>
      <scheme val="minor"/>
    </font>
    <font>
      <sz val="9"/>
      <name val="等线"/>
      <family val="3"/>
      <charset val="134"/>
      <scheme val="minor"/>
    </font>
    <font>
      <sz val="10"/>
      <color theme="1"/>
      <name val="等线"/>
      <family val="3"/>
      <charset val="134"/>
      <scheme val="minor"/>
    </font>
    <font>
      <sz val="10"/>
      <color theme="1"/>
      <name val="等线"/>
      <family val="3"/>
      <charset val="134"/>
    </font>
    <font>
      <b/>
      <sz val="10"/>
      <name val="等线"/>
      <family val="3"/>
      <charset val="134"/>
      <scheme val="minor"/>
    </font>
    <font>
      <b/>
      <sz val="10"/>
      <color theme="1"/>
      <name val="等线"/>
      <family val="3"/>
      <charset val="134"/>
      <scheme val="minor"/>
    </font>
    <font>
      <sz val="12"/>
      <color theme="1"/>
      <name val="等线"/>
      <family val="3"/>
      <charset val="134"/>
      <scheme val="minor"/>
    </font>
    <font>
      <b/>
      <sz val="12"/>
      <color rgb="FFFF0000"/>
      <name val="等线"/>
      <family val="3"/>
      <charset val="134"/>
      <scheme val="minor"/>
    </font>
    <font>
      <b/>
      <sz val="12"/>
      <color theme="5"/>
      <name val="等线"/>
      <family val="3"/>
      <charset val="134"/>
      <scheme val="minor"/>
    </font>
    <font>
      <b/>
      <sz val="12"/>
      <color theme="4"/>
      <name val="等线"/>
      <family val="3"/>
      <charset val="134"/>
      <scheme val="minor"/>
    </font>
    <font>
      <b/>
      <sz val="12"/>
      <color theme="9"/>
      <name val="等线"/>
      <family val="3"/>
      <charset val="134"/>
      <scheme val="minor"/>
    </font>
  </fonts>
  <fills count="2">
    <fill>
      <patternFill patternType="none"/>
    </fill>
    <fill>
      <patternFill patternType="gray125"/>
    </fill>
  </fills>
  <borders count="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s>
  <cellStyleXfs count="1">
    <xf numFmtId="0" fontId="0" fillId="0" borderId="0">
      <alignment vertical="center"/>
    </xf>
  </cellStyleXfs>
  <cellXfs count="24">
    <xf numFmtId="0" fontId="0" fillId="0" borderId="0" xfId="0">
      <alignment vertical="center"/>
    </xf>
    <xf numFmtId="0" fontId="3" fillId="0" borderId="0" xfId="0" applyFont="1">
      <alignment vertical="center"/>
    </xf>
    <xf numFmtId="0" fontId="4" fillId="0" borderId="1" xfId="0" applyFont="1" applyBorder="1" applyAlignment="1">
      <alignment horizontal="center" vertical="center"/>
    </xf>
    <xf numFmtId="177" fontId="4" fillId="0" borderId="1" xfId="0" applyNumberFormat="1" applyFont="1" applyBorder="1" applyAlignment="1">
      <alignment horizontal="center" vertical="center"/>
    </xf>
    <xf numFmtId="176" fontId="4" fillId="0" borderId="1" xfId="0" applyNumberFormat="1" applyFont="1" applyBorder="1" applyAlignment="1">
      <alignment horizontal="center" vertical="center"/>
    </xf>
    <xf numFmtId="0" fontId="4" fillId="0" borderId="0" xfId="0" applyFont="1" applyAlignment="1">
      <alignment horizontal="center" vertical="center"/>
    </xf>
    <xf numFmtId="177" fontId="4" fillId="0" borderId="0" xfId="0" applyNumberFormat="1" applyFont="1" applyAlignment="1">
      <alignment horizontal="center" vertical="center"/>
    </xf>
    <xf numFmtId="176" fontId="4" fillId="0" borderId="0" xfId="0" applyNumberFormat="1" applyFont="1" applyAlignment="1">
      <alignment horizontal="center" vertical="center"/>
    </xf>
    <xf numFmtId="176" fontId="5" fillId="0" borderId="1" xfId="0" applyNumberFormat="1" applyFont="1" applyBorder="1" applyAlignment="1">
      <alignment horizontal="center" vertical="center" wrapText="1"/>
    </xf>
    <xf numFmtId="176" fontId="6" fillId="0" borderId="1" xfId="0" applyNumberFormat="1"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76" fontId="5" fillId="0" borderId="2" xfId="0" applyNumberFormat="1" applyFont="1" applyBorder="1" applyAlignment="1">
      <alignment horizontal="center" vertical="center" wrapText="1"/>
    </xf>
    <xf numFmtId="176" fontId="5" fillId="0" borderId="3" xfId="0" applyNumberFormat="1" applyFont="1" applyBorder="1" applyAlignment="1">
      <alignment horizontal="center" vertical="center" wrapText="1"/>
    </xf>
    <xf numFmtId="176" fontId="5" fillId="0" borderId="4" xfId="0" applyNumberFormat="1" applyFont="1" applyBorder="1" applyAlignment="1">
      <alignment horizontal="center" vertical="center" wrapText="1"/>
    </xf>
    <xf numFmtId="176" fontId="6" fillId="0" borderId="2" xfId="0" applyNumberFormat="1" applyFont="1" applyBorder="1" applyAlignment="1">
      <alignment horizontal="center" vertical="center"/>
    </xf>
    <xf numFmtId="176" fontId="6" fillId="0" borderId="3" xfId="0" applyNumberFormat="1" applyFont="1" applyBorder="1" applyAlignment="1">
      <alignment horizontal="center" vertical="center"/>
    </xf>
    <xf numFmtId="176" fontId="6" fillId="0" borderId="4" xfId="0" applyNumberFormat="1" applyFont="1" applyBorder="1" applyAlignment="1">
      <alignment horizontal="center" vertical="center"/>
    </xf>
    <xf numFmtId="49" fontId="5" fillId="0" borderId="5" xfId="0" applyNumberFormat="1" applyFont="1" applyBorder="1" applyAlignment="1">
      <alignment horizontal="center" vertical="center" wrapText="1"/>
    </xf>
    <xf numFmtId="49" fontId="5" fillId="0" borderId="6" xfId="0" applyNumberFormat="1" applyFont="1" applyBorder="1" applyAlignment="1">
      <alignment horizontal="center" vertical="center" wrapText="1"/>
    </xf>
    <xf numFmtId="177" fontId="5" fillId="0" borderId="5" xfId="0" applyNumberFormat="1" applyFont="1" applyBorder="1" applyAlignment="1">
      <alignment horizontal="center" vertical="center" wrapText="1"/>
    </xf>
    <xf numFmtId="177" fontId="5" fillId="0" borderId="6" xfId="0" applyNumberFormat="1" applyFont="1" applyBorder="1" applyAlignment="1">
      <alignment horizontal="center" vertical="center" wrapText="1"/>
    </xf>
    <xf numFmtId="0" fontId="0" fillId="0" borderId="0" xfId="0" applyAlignment="1">
      <alignment horizontal="center" vertical="center"/>
    </xf>
    <xf numFmtId="0" fontId="7" fillId="0" borderId="0" xfId="0" applyFont="1" applyAlignment="1">
      <alignment horizontal="left" vertical="center" wrapText="1"/>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0</xdr:colOff>
      <xdr:row>24</xdr:row>
      <xdr:rowOff>156210</xdr:rowOff>
    </xdr:from>
    <xdr:to>
      <xdr:col>3</xdr:col>
      <xdr:colOff>0</xdr:colOff>
      <xdr:row>27</xdr:row>
      <xdr:rowOff>156210</xdr:rowOff>
    </xdr:to>
    <xdr:sp macro="[0]!系统重置" textlink="">
      <xdr:nvSpPr>
        <xdr:cNvPr id="2" name="矩形: 圆角 1">
          <a:extLst>
            <a:ext uri="{FF2B5EF4-FFF2-40B4-BE49-F238E27FC236}">
              <a16:creationId xmlns:a16="http://schemas.microsoft.com/office/drawing/2014/main" id="{AB69B743-B618-4F97-AD1F-19887C8841A4}"/>
            </a:ext>
          </a:extLst>
        </xdr:cNvPr>
        <xdr:cNvSpPr/>
      </xdr:nvSpPr>
      <xdr:spPr>
        <a:xfrm>
          <a:off x="670560" y="4453890"/>
          <a:ext cx="1341120" cy="53721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2000" b="1"/>
            <a:t>系统重置</a:t>
          </a:r>
        </a:p>
      </xdr:txBody>
    </xdr:sp>
    <xdr:clientData/>
  </xdr:twoCellAnchor>
  <xdr:twoCellAnchor>
    <xdr:from>
      <xdr:col>1</xdr:col>
      <xdr:colOff>0</xdr:colOff>
      <xdr:row>21</xdr:row>
      <xdr:rowOff>0</xdr:rowOff>
    </xdr:from>
    <xdr:to>
      <xdr:col>3</xdr:col>
      <xdr:colOff>0</xdr:colOff>
      <xdr:row>24</xdr:row>
      <xdr:rowOff>0</xdr:rowOff>
    </xdr:to>
    <xdr:sp macro="[0]!宏" textlink="">
      <xdr:nvSpPr>
        <xdr:cNvPr id="3" name="矩形: 圆角 2">
          <a:extLst>
            <a:ext uri="{FF2B5EF4-FFF2-40B4-BE49-F238E27FC236}">
              <a16:creationId xmlns:a16="http://schemas.microsoft.com/office/drawing/2014/main" id="{53AE3B6A-2871-4370-B2CE-992B941AF7DE}"/>
            </a:ext>
          </a:extLst>
        </xdr:cNvPr>
        <xdr:cNvSpPr/>
      </xdr:nvSpPr>
      <xdr:spPr>
        <a:xfrm>
          <a:off x="670560" y="3760470"/>
          <a:ext cx="1341120" cy="537210"/>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zh-CN" altLang="en-US" sz="2000" b="1"/>
            <a:t>写入数据</a:t>
          </a:r>
        </a:p>
      </xdr:txBody>
    </xdr:sp>
    <xdr:clientData/>
  </xdr:twoCellAnchor>
  <xdr:twoCellAnchor>
    <xdr:from>
      <xdr:col>1</xdr:col>
      <xdr:colOff>0</xdr:colOff>
      <xdr:row>17</xdr:row>
      <xdr:rowOff>0</xdr:rowOff>
    </xdr:from>
    <xdr:to>
      <xdr:col>3</xdr:col>
      <xdr:colOff>0</xdr:colOff>
      <xdr:row>20</xdr:row>
      <xdr:rowOff>0</xdr:rowOff>
    </xdr:to>
    <xdr:sp macro="[0]!表格检测" textlink="">
      <xdr:nvSpPr>
        <xdr:cNvPr id="4" name="矩形: 圆角 3">
          <a:extLst>
            <a:ext uri="{FF2B5EF4-FFF2-40B4-BE49-F238E27FC236}">
              <a16:creationId xmlns:a16="http://schemas.microsoft.com/office/drawing/2014/main" id="{FABD6164-7D4C-48E8-A7E9-4E63656C4ECE}"/>
            </a:ext>
          </a:extLst>
        </xdr:cNvPr>
        <xdr:cNvSpPr/>
      </xdr:nvSpPr>
      <xdr:spPr>
        <a:xfrm>
          <a:off x="670560" y="3044190"/>
          <a:ext cx="1341120" cy="537210"/>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zh-CN" altLang="en-US" sz="2000" b="1"/>
            <a:t>表格检测</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E41B-233A-4874-A0D1-BD00C3E9FD3F}">
  <sheetPr codeName="Sheet1"/>
  <dimension ref="A1:AC61"/>
  <sheetViews>
    <sheetView workbookViewId="0">
      <selection activeCell="AE3" sqref="AE3"/>
    </sheetView>
  </sheetViews>
  <sheetFormatPr defaultRowHeight="12.6" x14ac:dyDescent="0.5"/>
  <cols>
    <col min="1" max="1" width="8.546875" style="5" customWidth="1"/>
    <col min="2" max="2" width="4.546875" style="6" customWidth="1"/>
    <col min="3" max="29" width="4.546875" style="7" customWidth="1"/>
    <col min="30" max="16384" width="8.796875" style="1"/>
  </cols>
  <sheetData>
    <row r="1" spans="1:29" x14ac:dyDescent="0.5">
      <c r="A1" s="18" t="s">
        <v>73</v>
      </c>
      <c r="B1" s="20" t="s">
        <v>0</v>
      </c>
      <c r="C1" s="12" t="s">
        <v>1</v>
      </c>
      <c r="D1" s="13"/>
      <c r="E1" s="14"/>
      <c r="F1" s="12" t="s">
        <v>2</v>
      </c>
      <c r="G1" s="13"/>
      <c r="H1" s="14"/>
      <c r="I1" s="12" t="s">
        <v>3</v>
      </c>
      <c r="J1" s="13"/>
      <c r="K1" s="14"/>
      <c r="L1" s="12" t="s">
        <v>4</v>
      </c>
      <c r="M1" s="13"/>
      <c r="N1" s="14"/>
      <c r="O1" s="12" t="s">
        <v>5</v>
      </c>
      <c r="P1" s="13"/>
      <c r="Q1" s="14"/>
      <c r="R1" s="12" t="s">
        <v>6</v>
      </c>
      <c r="S1" s="13"/>
      <c r="T1" s="14"/>
      <c r="U1" s="12" t="s">
        <v>7</v>
      </c>
      <c r="V1" s="13"/>
      <c r="W1" s="14"/>
      <c r="X1" s="12" t="s">
        <v>8</v>
      </c>
      <c r="Y1" s="13"/>
      <c r="Z1" s="14"/>
      <c r="AA1" s="15" t="s">
        <v>75</v>
      </c>
      <c r="AB1" s="16"/>
      <c r="AC1" s="17"/>
    </row>
    <row r="2" spans="1:29" ht="15" customHeight="1" x14ac:dyDescent="0.5">
      <c r="A2" s="19"/>
      <c r="B2" s="21"/>
      <c r="C2" s="8" t="s">
        <v>9</v>
      </c>
      <c r="D2" s="8" t="s">
        <v>10</v>
      </c>
      <c r="E2" s="8" t="s">
        <v>11</v>
      </c>
      <c r="F2" s="8" t="s">
        <v>9</v>
      </c>
      <c r="G2" s="8" t="s">
        <v>10</v>
      </c>
      <c r="H2" s="8" t="s">
        <v>11</v>
      </c>
      <c r="I2" s="8" t="s">
        <v>9</v>
      </c>
      <c r="J2" s="8" t="s">
        <v>10</v>
      </c>
      <c r="K2" s="8" t="s">
        <v>11</v>
      </c>
      <c r="L2" s="8" t="s">
        <v>9</v>
      </c>
      <c r="M2" s="8" t="s">
        <v>10</v>
      </c>
      <c r="N2" s="8" t="s">
        <v>11</v>
      </c>
      <c r="O2" s="8" t="s">
        <v>9</v>
      </c>
      <c r="P2" s="8" t="s">
        <v>10</v>
      </c>
      <c r="Q2" s="8" t="s">
        <v>11</v>
      </c>
      <c r="R2" s="8" t="s">
        <v>9</v>
      </c>
      <c r="S2" s="8" t="s">
        <v>10</v>
      </c>
      <c r="T2" s="8" t="s">
        <v>11</v>
      </c>
      <c r="U2" s="8" t="s">
        <v>9</v>
      </c>
      <c r="V2" s="8" t="s">
        <v>10</v>
      </c>
      <c r="W2" s="8" t="s">
        <v>11</v>
      </c>
      <c r="X2" s="8" t="s">
        <v>9</v>
      </c>
      <c r="Y2" s="8" t="s">
        <v>10</v>
      </c>
      <c r="Z2" s="8" t="s">
        <v>11</v>
      </c>
      <c r="AA2" s="8" t="s">
        <v>12</v>
      </c>
      <c r="AB2" s="8" t="s">
        <v>13</v>
      </c>
      <c r="AC2" s="9" t="s">
        <v>11</v>
      </c>
    </row>
    <row r="3" spans="1:29" x14ac:dyDescent="0.5">
      <c r="A3" s="2" t="s">
        <v>14</v>
      </c>
      <c r="B3" s="3">
        <v>1</v>
      </c>
      <c r="C3" s="4"/>
      <c r="D3" s="4"/>
      <c r="E3" s="4"/>
      <c r="F3" s="4"/>
      <c r="G3" s="4"/>
      <c r="H3" s="4"/>
      <c r="I3" s="4"/>
      <c r="J3" s="4"/>
      <c r="K3" s="4"/>
      <c r="L3" s="4"/>
      <c r="M3" s="4"/>
      <c r="N3" s="4"/>
      <c r="O3" s="4"/>
      <c r="P3" s="4"/>
      <c r="Q3" s="4"/>
      <c r="R3" s="4"/>
      <c r="S3" s="4"/>
      <c r="T3" s="4"/>
      <c r="U3" s="4"/>
      <c r="V3" s="4"/>
      <c r="W3" s="4"/>
      <c r="X3" s="4"/>
      <c r="Y3" s="4"/>
      <c r="Z3" s="4"/>
      <c r="AA3" s="4"/>
      <c r="AB3" s="4"/>
      <c r="AC3" s="4"/>
    </row>
    <row r="4" spans="1:29" x14ac:dyDescent="0.5">
      <c r="A4" s="2" t="s">
        <v>15</v>
      </c>
      <c r="B4" s="3">
        <v>2</v>
      </c>
      <c r="C4" s="4">
        <v>93</v>
      </c>
      <c r="D4" s="4">
        <v>39</v>
      </c>
      <c r="E4" s="4">
        <v>824</v>
      </c>
      <c r="F4" s="4">
        <v>70</v>
      </c>
      <c r="G4" s="4">
        <v>47</v>
      </c>
      <c r="H4" s="4">
        <v>1009</v>
      </c>
      <c r="I4" s="4">
        <v>126</v>
      </c>
      <c r="J4" s="4">
        <v>26</v>
      </c>
      <c r="K4" s="4">
        <v>521</v>
      </c>
      <c r="L4" s="4">
        <v>77</v>
      </c>
      <c r="M4" s="4">
        <v>16</v>
      </c>
      <c r="N4" s="4">
        <v>305</v>
      </c>
      <c r="O4" s="4">
        <v>82</v>
      </c>
      <c r="P4" s="4">
        <v>20</v>
      </c>
      <c r="Q4" s="4">
        <v>347</v>
      </c>
      <c r="R4" s="4">
        <v>86</v>
      </c>
      <c r="S4" s="4">
        <v>18</v>
      </c>
      <c r="T4" s="4">
        <v>301</v>
      </c>
      <c r="U4" s="4">
        <v>289</v>
      </c>
      <c r="V4" s="4">
        <v>43</v>
      </c>
      <c r="W4" s="4">
        <v>867</v>
      </c>
      <c r="X4" s="4">
        <v>245</v>
      </c>
      <c r="Y4" s="4">
        <v>19</v>
      </c>
      <c r="Z4" s="4">
        <v>300</v>
      </c>
      <c r="AA4" s="4">
        <v>534</v>
      </c>
      <c r="AB4" s="4">
        <v>31</v>
      </c>
      <c r="AC4" s="4">
        <v>533</v>
      </c>
    </row>
    <row r="5" spans="1:29" x14ac:dyDescent="0.5">
      <c r="A5" s="2" t="s">
        <v>16</v>
      </c>
      <c r="B5" s="3">
        <v>3</v>
      </c>
      <c r="C5" s="4">
        <v>105</v>
      </c>
      <c r="D5" s="4">
        <v>16</v>
      </c>
      <c r="E5" s="4">
        <v>307</v>
      </c>
      <c r="F5" s="4">
        <v>95</v>
      </c>
      <c r="G5" s="4">
        <v>22</v>
      </c>
      <c r="H5" s="4">
        <v>483</v>
      </c>
      <c r="I5" s="4">
        <v>138.5</v>
      </c>
      <c r="J5" s="4">
        <v>3</v>
      </c>
      <c r="K5" s="4">
        <v>94</v>
      </c>
      <c r="L5" s="4">
        <v>61</v>
      </c>
      <c r="M5" s="4">
        <v>30</v>
      </c>
      <c r="N5" s="4">
        <v>655</v>
      </c>
      <c r="O5" s="4">
        <v>74</v>
      </c>
      <c r="P5" s="4">
        <v>35</v>
      </c>
      <c r="Q5" s="4">
        <v>603</v>
      </c>
      <c r="R5" s="4">
        <v>69</v>
      </c>
      <c r="S5" s="4">
        <v>49</v>
      </c>
      <c r="T5" s="4">
        <v>855</v>
      </c>
      <c r="U5" s="4">
        <v>338.5</v>
      </c>
      <c r="V5" s="4">
        <v>10</v>
      </c>
      <c r="W5" s="4">
        <v>247</v>
      </c>
      <c r="X5" s="4">
        <v>204</v>
      </c>
      <c r="Y5" s="4">
        <v>38</v>
      </c>
      <c r="Z5" s="4">
        <v>695</v>
      </c>
      <c r="AA5" s="4">
        <v>542.5</v>
      </c>
      <c r="AB5" s="4">
        <v>27</v>
      </c>
      <c r="AC5" s="4">
        <v>489</v>
      </c>
    </row>
    <row r="6" spans="1:29" x14ac:dyDescent="0.5">
      <c r="A6" s="2" t="s">
        <v>17</v>
      </c>
      <c r="B6" s="3">
        <v>4</v>
      </c>
      <c r="C6" s="4">
        <v>98</v>
      </c>
      <c r="D6" s="4">
        <v>28</v>
      </c>
      <c r="E6" s="4">
        <v>604</v>
      </c>
      <c r="F6" s="4">
        <v>109</v>
      </c>
      <c r="G6" s="4">
        <v>11</v>
      </c>
      <c r="H6" s="4">
        <v>227</v>
      </c>
      <c r="I6" s="4">
        <v>122.5</v>
      </c>
      <c r="J6" s="4">
        <v>37</v>
      </c>
      <c r="K6" s="4">
        <v>660</v>
      </c>
      <c r="L6" s="4">
        <v>87</v>
      </c>
      <c r="M6" s="4">
        <v>9</v>
      </c>
      <c r="N6" s="4">
        <v>160</v>
      </c>
      <c r="O6" s="4">
        <v>76</v>
      </c>
      <c r="P6" s="4">
        <v>32</v>
      </c>
      <c r="Q6" s="4">
        <v>534</v>
      </c>
      <c r="R6" s="4">
        <v>88</v>
      </c>
      <c r="S6" s="4">
        <v>15</v>
      </c>
      <c r="T6" s="4">
        <v>224</v>
      </c>
      <c r="U6" s="4">
        <v>329.5</v>
      </c>
      <c r="V6" s="4">
        <v>21</v>
      </c>
      <c r="W6" s="4">
        <v>357</v>
      </c>
      <c r="X6" s="4">
        <v>251</v>
      </c>
      <c r="Y6" s="4">
        <v>17</v>
      </c>
      <c r="Z6" s="4">
        <v>247</v>
      </c>
      <c r="AA6" s="4">
        <v>580.5</v>
      </c>
      <c r="AB6" s="4">
        <v>16</v>
      </c>
      <c r="AC6" s="4">
        <v>275</v>
      </c>
    </row>
    <row r="7" spans="1:29" x14ac:dyDescent="0.5">
      <c r="A7" s="2" t="s">
        <v>18</v>
      </c>
      <c r="B7" s="3">
        <v>5</v>
      </c>
      <c r="C7" s="4">
        <v>96</v>
      </c>
      <c r="D7" s="4">
        <v>33</v>
      </c>
      <c r="E7" s="4">
        <v>696</v>
      </c>
      <c r="F7" s="4">
        <v>112</v>
      </c>
      <c r="G7" s="4">
        <v>8</v>
      </c>
      <c r="H7" s="4">
        <v>181</v>
      </c>
      <c r="I7" s="4">
        <v>123</v>
      </c>
      <c r="J7" s="4">
        <v>35</v>
      </c>
      <c r="K7" s="4">
        <v>637</v>
      </c>
      <c r="L7" s="4">
        <v>103</v>
      </c>
      <c r="M7" s="4">
        <v>2</v>
      </c>
      <c r="N7" s="4">
        <v>16</v>
      </c>
      <c r="O7" s="4">
        <v>88</v>
      </c>
      <c r="P7" s="4">
        <v>9</v>
      </c>
      <c r="Q7" s="4">
        <v>158</v>
      </c>
      <c r="R7" s="4">
        <v>83</v>
      </c>
      <c r="S7" s="4">
        <v>26</v>
      </c>
      <c r="T7" s="4">
        <v>407</v>
      </c>
      <c r="U7" s="4">
        <v>331</v>
      </c>
      <c r="V7" s="4">
        <v>18</v>
      </c>
      <c r="W7" s="4">
        <v>343</v>
      </c>
      <c r="X7" s="4">
        <v>274</v>
      </c>
      <c r="Y7" s="4">
        <v>6</v>
      </c>
      <c r="Z7" s="4">
        <v>77</v>
      </c>
      <c r="AA7" s="4">
        <v>605</v>
      </c>
      <c r="AB7" s="4">
        <v>9</v>
      </c>
      <c r="AC7" s="4">
        <v>163</v>
      </c>
    </row>
    <row r="8" spans="1:29" x14ac:dyDescent="0.5">
      <c r="A8" s="2" t="s">
        <v>19</v>
      </c>
      <c r="B8" s="3">
        <v>6</v>
      </c>
      <c r="C8" s="4">
        <v>109</v>
      </c>
      <c r="D8" s="4">
        <v>10</v>
      </c>
      <c r="E8" s="4">
        <v>175</v>
      </c>
      <c r="F8" s="4">
        <v>68</v>
      </c>
      <c r="G8" s="4">
        <v>49</v>
      </c>
      <c r="H8" s="4">
        <v>1044</v>
      </c>
      <c r="I8" s="4">
        <v>125</v>
      </c>
      <c r="J8" s="4">
        <v>30</v>
      </c>
      <c r="K8" s="4">
        <v>555</v>
      </c>
      <c r="L8" s="4">
        <v>52</v>
      </c>
      <c r="M8" s="4">
        <v>38</v>
      </c>
      <c r="N8" s="4">
        <v>860</v>
      </c>
      <c r="O8" s="4">
        <v>78</v>
      </c>
      <c r="P8" s="4">
        <v>28</v>
      </c>
      <c r="Q8" s="4">
        <v>460</v>
      </c>
      <c r="R8" s="4">
        <v>71</v>
      </c>
      <c r="S8" s="4">
        <v>43</v>
      </c>
      <c r="T8" s="4">
        <v>784</v>
      </c>
      <c r="U8" s="4">
        <v>302</v>
      </c>
      <c r="V8" s="4">
        <v>35</v>
      </c>
      <c r="W8" s="4">
        <v>683</v>
      </c>
      <c r="X8" s="4">
        <v>201</v>
      </c>
      <c r="Y8" s="4">
        <v>40</v>
      </c>
      <c r="Z8" s="4">
        <v>730</v>
      </c>
      <c r="AA8" s="4">
        <v>503</v>
      </c>
      <c r="AB8" s="4">
        <v>38</v>
      </c>
      <c r="AC8" s="4">
        <v>711</v>
      </c>
    </row>
    <row r="9" spans="1:29" x14ac:dyDescent="0.5">
      <c r="A9" s="2" t="s">
        <v>20</v>
      </c>
      <c r="B9" s="3">
        <v>7</v>
      </c>
      <c r="C9" s="4">
        <v>109</v>
      </c>
      <c r="D9" s="4">
        <v>10</v>
      </c>
      <c r="E9" s="4">
        <v>175</v>
      </c>
      <c r="F9" s="4">
        <v>87</v>
      </c>
      <c r="G9" s="4">
        <v>34</v>
      </c>
      <c r="H9" s="4">
        <v>660</v>
      </c>
      <c r="I9" s="4">
        <v>135.5</v>
      </c>
      <c r="J9" s="4">
        <v>8</v>
      </c>
      <c r="K9" s="4">
        <v>198</v>
      </c>
      <c r="L9" s="4">
        <v>49</v>
      </c>
      <c r="M9" s="4">
        <v>44</v>
      </c>
      <c r="N9" s="4">
        <v>926</v>
      </c>
      <c r="O9" s="4">
        <v>70</v>
      </c>
      <c r="P9" s="4">
        <v>41</v>
      </c>
      <c r="Q9" s="4">
        <v>743</v>
      </c>
      <c r="R9" s="4">
        <v>78</v>
      </c>
      <c r="S9" s="4">
        <v>36</v>
      </c>
      <c r="T9" s="4">
        <v>568</v>
      </c>
      <c r="U9" s="4">
        <v>331.5</v>
      </c>
      <c r="V9" s="4">
        <v>17</v>
      </c>
      <c r="W9" s="4">
        <v>334</v>
      </c>
      <c r="X9" s="4">
        <v>197</v>
      </c>
      <c r="Y9" s="4">
        <v>42</v>
      </c>
      <c r="Z9" s="4">
        <v>769</v>
      </c>
      <c r="AA9" s="4">
        <v>528.5</v>
      </c>
      <c r="AB9" s="4">
        <v>33</v>
      </c>
      <c r="AC9" s="4">
        <v>571</v>
      </c>
    </row>
    <row r="10" spans="1:29" x14ac:dyDescent="0.5">
      <c r="A10" s="2" t="s">
        <v>21</v>
      </c>
      <c r="B10" s="3">
        <v>8</v>
      </c>
      <c r="C10" s="4">
        <v>119</v>
      </c>
      <c r="D10" s="4">
        <v>1</v>
      </c>
      <c r="E10" s="4">
        <v>17</v>
      </c>
      <c r="F10" s="4">
        <v>111</v>
      </c>
      <c r="G10" s="4">
        <v>10</v>
      </c>
      <c r="H10" s="4">
        <v>194</v>
      </c>
      <c r="I10" s="4">
        <v>139.5</v>
      </c>
      <c r="J10" s="4">
        <v>2</v>
      </c>
      <c r="K10" s="4">
        <v>72</v>
      </c>
      <c r="L10" s="4">
        <v>82</v>
      </c>
      <c r="M10" s="4">
        <v>12</v>
      </c>
      <c r="N10" s="4">
        <v>231</v>
      </c>
      <c r="O10" s="4">
        <v>88</v>
      </c>
      <c r="P10" s="4">
        <v>9</v>
      </c>
      <c r="Q10" s="4">
        <v>158</v>
      </c>
      <c r="R10" s="4">
        <v>95</v>
      </c>
      <c r="S10" s="4">
        <v>4</v>
      </c>
      <c r="T10" s="4">
        <v>32</v>
      </c>
      <c r="U10" s="4">
        <v>369.5</v>
      </c>
      <c r="V10" s="4">
        <v>2</v>
      </c>
      <c r="W10" s="4">
        <v>59</v>
      </c>
      <c r="X10" s="4">
        <v>265</v>
      </c>
      <c r="Y10" s="4">
        <v>8</v>
      </c>
      <c r="Z10" s="4">
        <v>130</v>
      </c>
      <c r="AA10" s="4">
        <v>634.5</v>
      </c>
      <c r="AB10" s="4">
        <v>4</v>
      </c>
      <c r="AC10" s="4">
        <v>69</v>
      </c>
    </row>
    <row r="11" spans="1:29" x14ac:dyDescent="0.5">
      <c r="A11" s="2" t="s">
        <v>22</v>
      </c>
      <c r="B11" s="3">
        <v>9</v>
      </c>
      <c r="C11" s="4">
        <v>93</v>
      </c>
      <c r="D11" s="4">
        <v>39</v>
      </c>
      <c r="E11" s="4">
        <v>824</v>
      </c>
      <c r="F11" s="4">
        <v>79</v>
      </c>
      <c r="G11" s="4">
        <v>41</v>
      </c>
      <c r="H11" s="4">
        <v>814</v>
      </c>
      <c r="I11" s="4">
        <v>120</v>
      </c>
      <c r="J11" s="4">
        <v>39</v>
      </c>
      <c r="K11" s="4">
        <v>752</v>
      </c>
      <c r="L11" s="4">
        <v>82</v>
      </c>
      <c r="M11" s="4">
        <v>12</v>
      </c>
      <c r="N11" s="4">
        <v>231</v>
      </c>
      <c r="O11" s="4">
        <v>88</v>
      </c>
      <c r="P11" s="4">
        <v>9</v>
      </c>
      <c r="Q11" s="4">
        <v>158</v>
      </c>
      <c r="R11" s="4">
        <v>85</v>
      </c>
      <c r="S11" s="4">
        <v>22</v>
      </c>
      <c r="T11" s="4">
        <v>344</v>
      </c>
      <c r="U11" s="4">
        <v>292</v>
      </c>
      <c r="V11" s="4">
        <v>41</v>
      </c>
      <c r="W11" s="4">
        <v>829</v>
      </c>
      <c r="X11" s="4">
        <v>255</v>
      </c>
      <c r="Y11" s="4">
        <v>15</v>
      </c>
      <c r="Z11" s="4">
        <v>214</v>
      </c>
      <c r="AA11" s="4">
        <v>547</v>
      </c>
      <c r="AB11" s="4">
        <v>25</v>
      </c>
      <c r="AC11" s="4">
        <v>466</v>
      </c>
    </row>
    <row r="12" spans="1:29" x14ac:dyDescent="0.5">
      <c r="A12" s="2" t="s">
        <v>23</v>
      </c>
      <c r="B12" s="3">
        <v>10</v>
      </c>
      <c r="C12" s="4">
        <v>105</v>
      </c>
      <c r="D12" s="4">
        <v>16</v>
      </c>
      <c r="E12" s="4">
        <v>307</v>
      </c>
      <c r="F12" s="4">
        <v>74</v>
      </c>
      <c r="G12" s="4">
        <v>46</v>
      </c>
      <c r="H12" s="4">
        <v>916</v>
      </c>
      <c r="I12" s="4">
        <v>114.5</v>
      </c>
      <c r="J12" s="4">
        <v>45</v>
      </c>
      <c r="K12" s="4">
        <v>933</v>
      </c>
      <c r="L12" s="4">
        <v>77</v>
      </c>
      <c r="M12" s="4">
        <v>16</v>
      </c>
      <c r="N12" s="4">
        <v>305</v>
      </c>
      <c r="O12" s="4">
        <v>68</v>
      </c>
      <c r="P12" s="4">
        <v>45</v>
      </c>
      <c r="Q12" s="4">
        <v>803</v>
      </c>
      <c r="R12" s="4">
        <v>80</v>
      </c>
      <c r="S12" s="4">
        <v>33</v>
      </c>
      <c r="T12" s="4">
        <v>497</v>
      </c>
      <c r="U12" s="4">
        <v>293.5</v>
      </c>
      <c r="V12" s="4">
        <v>39</v>
      </c>
      <c r="W12" s="4">
        <v>810</v>
      </c>
      <c r="X12" s="4">
        <v>225</v>
      </c>
      <c r="Y12" s="4">
        <v>26</v>
      </c>
      <c r="Z12" s="4">
        <v>485</v>
      </c>
      <c r="AA12" s="4">
        <v>518.5</v>
      </c>
      <c r="AB12" s="4">
        <v>35</v>
      </c>
      <c r="AC12" s="4">
        <v>624</v>
      </c>
    </row>
    <row r="13" spans="1:29" x14ac:dyDescent="0.5">
      <c r="A13" s="2" t="s">
        <v>24</v>
      </c>
      <c r="B13" s="3">
        <v>11</v>
      </c>
      <c r="C13" s="4">
        <v>98</v>
      </c>
      <c r="D13" s="4">
        <v>28</v>
      </c>
      <c r="E13" s="4">
        <v>604</v>
      </c>
      <c r="F13" s="4">
        <v>90</v>
      </c>
      <c r="G13" s="4">
        <v>29</v>
      </c>
      <c r="H13" s="4">
        <v>594</v>
      </c>
      <c r="I13" s="4">
        <v>99.5</v>
      </c>
      <c r="J13" s="4">
        <v>58</v>
      </c>
      <c r="K13" s="4">
        <v>1248</v>
      </c>
      <c r="L13" s="4">
        <v>50</v>
      </c>
      <c r="M13" s="4">
        <v>42</v>
      </c>
      <c r="N13" s="4">
        <v>902</v>
      </c>
      <c r="O13" s="4">
        <v>70</v>
      </c>
      <c r="P13" s="4">
        <v>41</v>
      </c>
      <c r="Q13" s="4">
        <v>743</v>
      </c>
      <c r="R13" s="4">
        <v>63</v>
      </c>
      <c r="S13" s="4">
        <v>54</v>
      </c>
      <c r="T13" s="4">
        <v>1012</v>
      </c>
      <c r="U13" s="4">
        <v>287.5</v>
      </c>
      <c r="V13" s="4">
        <v>44</v>
      </c>
      <c r="W13" s="4">
        <v>884</v>
      </c>
      <c r="X13" s="4">
        <v>183</v>
      </c>
      <c r="Y13" s="4">
        <v>47</v>
      </c>
      <c r="Z13" s="4">
        <v>907</v>
      </c>
      <c r="AA13" s="4">
        <v>470.5</v>
      </c>
      <c r="AB13" s="4">
        <v>47</v>
      </c>
      <c r="AC13" s="4">
        <v>902</v>
      </c>
    </row>
    <row r="14" spans="1:29" x14ac:dyDescent="0.5">
      <c r="A14" s="2" t="s">
        <v>25</v>
      </c>
      <c r="B14" s="3">
        <v>12</v>
      </c>
      <c r="C14" s="4">
        <v>99</v>
      </c>
      <c r="D14" s="4">
        <v>27</v>
      </c>
      <c r="E14" s="4">
        <v>548</v>
      </c>
      <c r="F14" s="4">
        <v>76</v>
      </c>
      <c r="G14" s="4">
        <v>45</v>
      </c>
      <c r="H14" s="4">
        <v>882</v>
      </c>
      <c r="I14" s="4">
        <v>124.5</v>
      </c>
      <c r="J14" s="4">
        <v>33</v>
      </c>
      <c r="K14" s="4">
        <v>578</v>
      </c>
      <c r="L14" s="4">
        <v>43</v>
      </c>
      <c r="M14" s="4">
        <v>49</v>
      </c>
      <c r="N14" s="4">
        <v>1046</v>
      </c>
      <c r="O14" s="4">
        <v>56</v>
      </c>
      <c r="P14" s="4">
        <v>56</v>
      </c>
      <c r="Q14" s="4">
        <v>1107</v>
      </c>
      <c r="R14" s="4">
        <v>51</v>
      </c>
      <c r="S14" s="4">
        <v>58</v>
      </c>
      <c r="T14" s="4">
        <v>1254</v>
      </c>
      <c r="U14" s="4">
        <v>299.5</v>
      </c>
      <c r="V14" s="4">
        <v>36</v>
      </c>
      <c r="W14" s="4">
        <v>720</v>
      </c>
      <c r="X14" s="4">
        <v>150</v>
      </c>
      <c r="Y14" s="4">
        <v>58</v>
      </c>
      <c r="Z14" s="4">
        <v>1184</v>
      </c>
      <c r="AA14" s="4">
        <v>449.5</v>
      </c>
      <c r="AB14" s="4">
        <v>51</v>
      </c>
      <c r="AC14" s="4">
        <v>1015</v>
      </c>
    </row>
    <row r="15" spans="1:29" x14ac:dyDescent="0.5">
      <c r="A15" s="2" t="s">
        <v>26</v>
      </c>
      <c r="B15" s="3">
        <v>13</v>
      </c>
      <c r="C15" s="4">
        <v>98</v>
      </c>
      <c r="D15" s="4">
        <v>28</v>
      </c>
      <c r="E15" s="4">
        <v>604</v>
      </c>
      <c r="F15" s="4">
        <v>123</v>
      </c>
      <c r="G15" s="4">
        <v>4</v>
      </c>
      <c r="H15" s="4">
        <v>81</v>
      </c>
      <c r="I15" s="4">
        <v>127.5</v>
      </c>
      <c r="J15" s="4">
        <v>24</v>
      </c>
      <c r="K15" s="4">
        <v>473</v>
      </c>
      <c r="L15" s="4">
        <v>108</v>
      </c>
      <c r="M15" s="4">
        <v>1</v>
      </c>
      <c r="N15" s="4">
        <v>1</v>
      </c>
      <c r="O15" s="4">
        <v>94</v>
      </c>
      <c r="P15" s="4">
        <v>4</v>
      </c>
      <c r="Q15" s="4">
        <v>27</v>
      </c>
      <c r="R15" s="4">
        <v>89</v>
      </c>
      <c r="S15" s="4">
        <v>13</v>
      </c>
      <c r="T15" s="4">
        <v>191</v>
      </c>
      <c r="U15" s="4">
        <v>348.5</v>
      </c>
      <c r="V15" s="4">
        <v>4</v>
      </c>
      <c r="W15" s="4">
        <v>160</v>
      </c>
      <c r="X15" s="4">
        <v>291</v>
      </c>
      <c r="Y15" s="4">
        <v>2</v>
      </c>
      <c r="Z15" s="4">
        <v>10</v>
      </c>
      <c r="AA15" s="4">
        <v>639.5</v>
      </c>
      <c r="AB15" s="4">
        <v>2</v>
      </c>
      <c r="AC15" s="4">
        <v>57</v>
      </c>
    </row>
    <row r="16" spans="1:29" x14ac:dyDescent="0.5">
      <c r="A16" s="2" t="s">
        <v>27</v>
      </c>
      <c r="B16" s="3">
        <v>14</v>
      </c>
      <c r="C16" s="4">
        <v>104</v>
      </c>
      <c r="D16" s="4">
        <v>20</v>
      </c>
      <c r="E16" s="4">
        <v>339</v>
      </c>
      <c r="F16" s="4">
        <v>130</v>
      </c>
      <c r="G16" s="4">
        <v>2</v>
      </c>
      <c r="H16" s="4">
        <v>42</v>
      </c>
      <c r="I16" s="4">
        <v>125</v>
      </c>
      <c r="J16" s="4">
        <v>30</v>
      </c>
      <c r="K16" s="4">
        <v>555</v>
      </c>
      <c r="L16" s="4">
        <v>88</v>
      </c>
      <c r="M16" s="4">
        <v>8</v>
      </c>
      <c r="N16" s="4">
        <v>147</v>
      </c>
      <c r="O16" s="4">
        <v>98</v>
      </c>
      <c r="P16" s="4">
        <v>1</v>
      </c>
      <c r="Q16" s="4">
        <v>5</v>
      </c>
      <c r="R16" s="4">
        <v>91</v>
      </c>
      <c r="S16" s="4">
        <v>8</v>
      </c>
      <c r="T16" s="4">
        <v>128</v>
      </c>
      <c r="U16" s="4">
        <v>359</v>
      </c>
      <c r="V16" s="4">
        <v>3</v>
      </c>
      <c r="W16" s="4">
        <v>101</v>
      </c>
      <c r="X16" s="4">
        <v>277</v>
      </c>
      <c r="Y16" s="4">
        <v>5</v>
      </c>
      <c r="Z16" s="4">
        <v>60</v>
      </c>
      <c r="AA16" s="4">
        <v>636</v>
      </c>
      <c r="AB16" s="4">
        <v>3</v>
      </c>
      <c r="AC16" s="4">
        <v>66</v>
      </c>
    </row>
    <row r="17" spans="1:29" x14ac:dyDescent="0.5">
      <c r="A17" s="2" t="s">
        <v>28</v>
      </c>
      <c r="B17" s="3">
        <v>15</v>
      </c>
      <c r="C17" s="4">
        <v>106</v>
      </c>
      <c r="D17" s="4">
        <v>15</v>
      </c>
      <c r="E17" s="4">
        <v>277</v>
      </c>
      <c r="F17" s="4">
        <v>97</v>
      </c>
      <c r="G17" s="4">
        <v>19</v>
      </c>
      <c r="H17" s="4">
        <v>437</v>
      </c>
      <c r="I17" s="4">
        <v>138.5</v>
      </c>
      <c r="J17" s="4">
        <v>3</v>
      </c>
      <c r="K17" s="4">
        <v>94</v>
      </c>
      <c r="L17" s="4">
        <v>56</v>
      </c>
      <c r="M17" s="4">
        <v>35</v>
      </c>
      <c r="N17" s="4">
        <v>786</v>
      </c>
      <c r="O17" s="4">
        <v>70</v>
      </c>
      <c r="P17" s="4">
        <v>41</v>
      </c>
      <c r="Q17" s="4">
        <v>743</v>
      </c>
      <c r="R17" s="4">
        <v>82</v>
      </c>
      <c r="S17" s="4">
        <v>30</v>
      </c>
      <c r="T17" s="4">
        <v>444</v>
      </c>
      <c r="U17" s="4">
        <v>341.5</v>
      </c>
      <c r="V17" s="4">
        <v>8</v>
      </c>
      <c r="W17" s="4">
        <v>217</v>
      </c>
      <c r="X17" s="4">
        <v>208</v>
      </c>
      <c r="Y17" s="4">
        <v>36</v>
      </c>
      <c r="Z17" s="4">
        <v>654</v>
      </c>
      <c r="AA17" s="4">
        <v>549.5</v>
      </c>
      <c r="AB17" s="4">
        <v>22</v>
      </c>
      <c r="AC17" s="4">
        <v>443</v>
      </c>
    </row>
    <row r="18" spans="1:29" x14ac:dyDescent="0.5">
      <c r="A18" s="2" t="s">
        <v>29</v>
      </c>
      <c r="B18" s="3">
        <v>16</v>
      </c>
      <c r="C18" s="4">
        <v>98</v>
      </c>
      <c r="D18" s="4">
        <v>28</v>
      </c>
      <c r="E18" s="4">
        <v>604</v>
      </c>
      <c r="F18" s="4">
        <v>82</v>
      </c>
      <c r="G18" s="4">
        <v>39</v>
      </c>
      <c r="H18" s="4">
        <v>756</v>
      </c>
      <c r="I18" s="4">
        <v>136.5</v>
      </c>
      <c r="J18" s="4">
        <v>7</v>
      </c>
      <c r="K18" s="4">
        <v>157</v>
      </c>
      <c r="L18" s="4">
        <v>72</v>
      </c>
      <c r="M18" s="4">
        <v>23</v>
      </c>
      <c r="N18" s="4">
        <v>427</v>
      </c>
      <c r="O18" s="4">
        <v>74</v>
      </c>
      <c r="P18" s="4">
        <v>35</v>
      </c>
      <c r="Q18" s="4">
        <v>603</v>
      </c>
      <c r="R18" s="4">
        <v>84</v>
      </c>
      <c r="S18" s="4">
        <v>23</v>
      </c>
      <c r="T18" s="4">
        <v>379</v>
      </c>
      <c r="U18" s="4">
        <v>316.5</v>
      </c>
      <c r="V18" s="4">
        <v>28</v>
      </c>
      <c r="W18" s="4">
        <v>511</v>
      </c>
      <c r="X18" s="4">
        <v>230</v>
      </c>
      <c r="Y18" s="4">
        <v>24</v>
      </c>
      <c r="Z18" s="4">
        <v>445</v>
      </c>
      <c r="AA18" s="4">
        <v>546.5</v>
      </c>
      <c r="AB18" s="4">
        <v>26</v>
      </c>
      <c r="AC18" s="4">
        <v>468</v>
      </c>
    </row>
    <row r="19" spans="1:29" x14ac:dyDescent="0.5">
      <c r="A19" s="2" t="s">
        <v>30</v>
      </c>
      <c r="B19" s="3">
        <v>17</v>
      </c>
      <c r="C19" s="4">
        <v>103</v>
      </c>
      <c r="D19" s="4">
        <v>22</v>
      </c>
      <c r="E19" s="4">
        <v>374</v>
      </c>
      <c r="F19" s="4">
        <v>88</v>
      </c>
      <c r="G19" s="4">
        <v>33</v>
      </c>
      <c r="H19" s="4">
        <v>643</v>
      </c>
      <c r="I19" s="4">
        <v>123</v>
      </c>
      <c r="J19" s="4">
        <v>35</v>
      </c>
      <c r="K19" s="4">
        <v>637</v>
      </c>
      <c r="L19" s="4">
        <v>74</v>
      </c>
      <c r="M19" s="4">
        <v>22</v>
      </c>
      <c r="N19" s="4">
        <v>372</v>
      </c>
      <c r="O19" s="4">
        <v>87</v>
      </c>
      <c r="P19" s="4">
        <v>13</v>
      </c>
      <c r="Q19" s="4">
        <v>208</v>
      </c>
      <c r="R19" s="4">
        <v>86</v>
      </c>
      <c r="S19" s="4">
        <v>18</v>
      </c>
      <c r="T19" s="4">
        <v>301</v>
      </c>
      <c r="U19" s="4">
        <v>314</v>
      </c>
      <c r="V19" s="4">
        <v>32</v>
      </c>
      <c r="W19" s="4">
        <v>540</v>
      </c>
      <c r="X19" s="4">
        <v>247</v>
      </c>
      <c r="Y19" s="4">
        <v>18</v>
      </c>
      <c r="Z19" s="4">
        <v>285</v>
      </c>
      <c r="AA19" s="4">
        <v>561</v>
      </c>
      <c r="AB19" s="4">
        <v>19</v>
      </c>
      <c r="AC19" s="4">
        <v>369</v>
      </c>
    </row>
    <row r="20" spans="1:29" x14ac:dyDescent="0.5">
      <c r="A20" s="2" t="s">
        <v>31</v>
      </c>
      <c r="B20" s="3">
        <v>18</v>
      </c>
      <c r="C20" s="4">
        <v>105</v>
      </c>
      <c r="D20" s="4">
        <v>16</v>
      </c>
      <c r="E20" s="4">
        <v>307</v>
      </c>
      <c r="F20" s="4">
        <v>62</v>
      </c>
      <c r="G20" s="4">
        <v>51</v>
      </c>
      <c r="H20" s="4">
        <v>1135</v>
      </c>
      <c r="I20" s="4">
        <v>114</v>
      </c>
      <c r="J20" s="4">
        <v>46</v>
      </c>
      <c r="K20" s="4">
        <v>948</v>
      </c>
      <c r="L20" s="4">
        <v>31</v>
      </c>
      <c r="M20" s="4">
        <v>58</v>
      </c>
      <c r="N20" s="4">
        <v>1295</v>
      </c>
      <c r="O20" s="4">
        <v>58</v>
      </c>
      <c r="P20" s="4">
        <v>54</v>
      </c>
      <c r="Q20" s="4">
        <v>1069</v>
      </c>
      <c r="R20" s="4">
        <v>71</v>
      </c>
      <c r="S20" s="4">
        <v>43</v>
      </c>
      <c r="T20" s="4">
        <v>784</v>
      </c>
      <c r="U20" s="4">
        <v>281</v>
      </c>
      <c r="V20" s="4">
        <v>47</v>
      </c>
      <c r="W20" s="4">
        <v>956</v>
      </c>
      <c r="X20" s="4">
        <v>160</v>
      </c>
      <c r="Y20" s="4">
        <v>56</v>
      </c>
      <c r="Z20" s="4">
        <v>1114</v>
      </c>
      <c r="AA20" s="4">
        <v>441</v>
      </c>
      <c r="AB20" s="4">
        <v>55</v>
      </c>
      <c r="AC20" s="4">
        <v>1069</v>
      </c>
    </row>
    <row r="21" spans="1:29" x14ac:dyDescent="0.5">
      <c r="A21" s="2" t="s">
        <v>32</v>
      </c>
      <c r="B21" s="3">
        <v>19</v>
      </c>
      <c r="C21" s="4">
        <v>93</v>
      </c>
      <c r="D21" s="4">
        <v>39</v>
      </c>
      <c r="E21" s="4">
        <v>824</v>
      </c>
      <c r="F21" s="4">
        <v>92</v>
      </c>
      <c r="G21" s="4">
        <v>27</v>
      </c>
      <c r="H21" s="4">
        <v>553</v>
      </c>
      <c r="I21" s="4">
        <v>113</v>
      </c>
      <c r="J21" s="4">
        <v>48</v>
      </c>
      <c r="K21" s="4">
        <v>970</v>
      </c>
      <c r="L21" s="4">
        <v>71</v>
      </c>
      <c r="M21" s="4">
        <v>25</v>
      </c>
      <c r="N21" s="4">
        <v>451</v>
      </c>
      <c r="O21" s="4">
        <v>71</v>
      </c>
      <c r="P21" s="4">
        <v>39</v>
      </c>
      <c r="Q21" s="4">
        <v>726</v>
      </c>
      <c r="R21" s="4">
        <v>71</v>
      </c>
      <c r="S21" s="4">
        <v>43</v>
      </c>
      <c r="T21" s="4">
        <v>784</v>
      </c>
      <c r="U21" s="4">
        <v>298</v>
      </c>
      <c r="V21" s="4">
        <v>37</v>
      </c>
      <c r="W21" s="4">
        <v>752</v>
      </c>
      <c r="X21" s="4">
        <v>213</v>
      </c>
      <c r="Y21" s="4">
        <v>32</v>
      </c>
      <c r="Z21" s="4">
        <v>599</v>
      </c>
      <c r="AA21" s="4">
        <v>511</v>
      </c>
      <c r="AB21" s="4">
        <v>37</v>
      </c>
      <c r="AC21" s="4">
        <v>661</v>
      </c>
    </row>
    <row r="22" spans="1:29" x14ac:dyDescent="0.5">
      <c r="A22" s="2" t="s">
        <v>33</v>
      </c>
      <c r="B22" s="3">
        <v>20</v>
      </c>
      <c r="C22" s="4">
        <v>96</v>
      </c>
      <c r="D22" s="4">
        <v>33</v>
      </c>
      <c r="E22" s="4">
        <v>696</v>
      </c>
      <c r="F22" s="4">
        <v>89</v>
      </c>
      <c r="G22" s="4">
        <v>30</v>
      </c>
      <c r="H22" s="4">
        <v>619</v>
      </c>
      <c r="I22" s="4">
        <v>129.5</v>
      </c>
      <c r="J22" s="4">
        <v>18</v>
      </c>
      <c r="K22" s="4">
        <v>401</v>
      </c>
      <c r="L22" s="4">
        <v>60</v>
      </c>
      <c r="M22" s="4">
        <v>32</v>
      </c>
      <c r="N22" s="4">
        <v>683</v>
      </c>
      <c r="O22" s="4">
        <v>80</v>
      </c>
      <c r="P22" s="4">
        <v>25</v>
      </c>
      <c r="Q22" s="4">
        <v>411</v>
      </c>
      <c r="R22" s="4">
        <v>86</v>
      </c>
      <c r="S22" s="4">
        <v>18</v>
      </c>
      <c r="T22" s="4">
        <v>301</v>
      </c>
      <c r="U22" s="4">
        <v>314.5</v>
      </c>
      <c r="V22" s="4">
        <v>30</v>
      </c>
      <c r="W22" s="4">
        <v>536</v>
      </c>
      <c r="X22" s="4">
        <v>226</v>
      </c>
      <c r="Y22" s="4">
        <v>25</v>
      </c>
      <c r="Z22" s="4">
        <v>479</v>
      </c>
      <c r="AA22" s="4">
        <v>540.5</v>
      </c>
      <c r="AB22" s="4">
        <v>28</v>
      </c>
      <c r="AC22" s="4">
        <v>494</v>
      </c>
    </row>
    <row r="23" spans="1:29" x14ac:dyDescent="0.5">
      <c r="A23" s="2" t="s">
        <v>34</v>
      </c>
      <c r="B23" s="3">
        <v>21</v>
      </c>
      <c r="C23" s="4">
        <v>72</v>
      </c>
      <c r="D23" s="4">
        <v>58</v>
      </c>
      <c r="E23" s="4">
        <v>1373</v>
      </c>
      <c r="F23" s="4">
        <v>53</v>
      </c>
      <c r="G23" s="4">
        <v>56</v>
      </c>
      <c r="H23" s="4">
        <v>1280</v>
      </c>
      <c r="I23" s="4">
        <v>87.5</v>
      </c>
      <c r="J23" s="4">
        <v>59</v>
      </c>
      <c r="K23" s="4">
        <v>1356</v>
      </c>
      <c r="L23" s="4">
        <v>67</v>
      </c>
      <c r="M23" s="4">
        <v>26</v>
      </c>
      <c r="N23" s="4">
        <v>527</v>
      </c>
      <c r="O23" s="4">
        <v>48</v>
      </c>
      <c r="P23" s="4">
        <v>59</v>
      </c>
      <c r="Q23" s="4">
        <v>1250</v>
      </c>
      <c r="R23" s="4">
        <v>55</v>
      </c>
      <c r="S23" s="4">
        <v>57</v>
      </c>
      <c r="T23" s="4">
        <v>1179</v>
      </c>
      <c r="U23" s="4">
        <v>212.5</v>
      </c>
      <c r="V23" s="4">
        <v>59</v>
      </c>
      <c r="W23" s="4">
        <v>1392</v>
      </c>
      <c r="X23" s="4">
        <v>170</v>
      </c>
      <c r="Y23" s="4">
        <v>52</v>
      </c>
      <c r="Z23" s="4">
        <v>1038</v>
      </c>
      <c r="AA23" s="4">
        <v>382.5</v>
      </c>
      <c r="AB23" s="4">
        <v>59</v>
      </c>
      <c r="AC23" s="4">
        <v>1290</v>
      </c>
    </row>
    <row r="24" spans="1:29" x14ac:dyDescent="0.5">
      <c r="A24" s="2" t="s">
        <v>35</v>
      </c>
      <c r="B24" s="3">
        <v>22</v>
      </c>
      <c r="C24" s="4">
        <v>75</v>
      </c>
      <c r="D24" s="4">
        <v>55</v>
      </c>
      <c r="E24" s="4">
        <v>1345</v>
      </c>
      <c r="F24" s="4">
        <v>57</v>
      </c>
      <c r="G24" s="4">
        <v>53</v>
      </c>
      <c r="H24" s="4">
        <v>1213</v>
      </c>
      <c r="I24" s="4">
        <v>109.5</v>
      </c>
      <c r="J24" s="4">
        <v>52</v>
      </c>
      <c r="K24" s="4">
        <v>1080</v>
      </c>
      <c r="L24" s="4">
        <v>36</v>
      </c>
      <c r="M24" s="4">
        <v>55</v>
      </c>
      <c r="N24" s="4">
        <v>1206</v>
      </c>
      <c r="O24" s="4">
        <v>56</v>
      </c>
      <c r="P24" s="4">
        <v>56</v>
      </c>
      <c r="Q24" s="4">
        <v>1107</v>
      </c>
      <c r="R24" s="4">
        <v>70</v>
      </c>
      <c r="S24" s="4">
        <v>47</v>
      </c>
      <c r="T24" s="4">
        <v>815</v>
      </c>
      <c r="U24" s="4">
        <v>241.5</v>
      </c>
      <c r="V24" s="4">
        <v>57</v>
      </c>
      <c r="W24" s="4">
        <v>1289</v>
      </c>
      <c r="X24" s="4">
        <v>162</v>
      </c>
      <c r="Y24" s="4">
        <v>55</v>
      </c>
      <c r="Z24" s="4">
        <v>1098</v>
      </c>
      <c r="AA24" s="4">
        <v>403.5</v>
      </c>
      <c r="AB24" s="4">
        <v>57</v>
      </c>
      <c r="AC24" s="4">
        <v>1207</v>
      </c>
    </row>
    <row r="25" spans="1:29" x14ac:dyDescent="0.5">
      <c r="A25" s="2" t="s">
        <v>36</v>
      </c>
      <c r="B25" s="3">
        <v>23</v>
      </c>
      <c r="C25" s="4">
        <v>91</v>
      </c>
      <c r="D25" s="4">
        <v>43</v>
      </c>
      <c r="E25" s="4">
        <v>914</v>
      </c>
      <c r="F25" s="4">
        <v>103</v>
      </c>
      <c r="G25" s="4">
        <v>17</v>
      </c>
      <c r="H25" s="4">
        <v>331</v>
      </c>
      <c r="I25" s="4">
        <v>130</v>
      </c>
      <c r="J25" s="4">
        <v>15</v>
      </c>
      <c r="K25" s="4">
        <v>378</v>
      </c>
      <c r="L25" s="4">
        <v>75</v>
      </c>
      <c r="M25" s="4">
        <v>19</v>
      </c>
      <c r="N25" s="4">
        <v>353</v>
      </c>
      <c r="O25" s="4">
        <v>90</v>
      </c>
      <c r="P25" s="4">
        <v>6</v>
      </c>
      <c r="Q25" s="4">
        <v>98</v>
      </c>
      <c r="R25" s="4">
        <v>90</v>
      </c>
      <c r="S25" s="4">
        <v>11</v>
      </c>
      <c r="T25" s="4">
        <v>161</v>
      </c>
      <c r="U25" s="4">
        <v>324</v>
      </c>
      <c r="V25" s="4">
        <v>25</v>
      </c>
      <c r="W25" s="4">
        <v>430</v>
      </c>
      <c r="X25" s="4">
        <v>255</v>
      </c>
      <c r="Y25" s="4">
        <v>15</v>
      </c>
      <c r="Z25" s="4">
        <v>214</v>
      </c>
      <c r="AA25" s="4">
        <v>579</v>
      </c>
      <c r="AB25" s="4">
        <v>17</v>
      </c>
      <c r="AC25" s="4">
        <v>285</v>
      </c>
    </row>
    <row r="26" spans="1:29" x14ac:dyDescent="0.5">
      <c r="A26" s="2" t="s">
        <v>37</v>
      </c>
      <c r="B26" s="3">
        <v>24</v>
      </c>
      <c r="C26" s="4">
        <v>85</v>
      </c>
      <c r="D26" s="4">
        <v>49</v>
      </c>
      <c r="E26" s="4">
        <v>1148</v>
      </c>
      <c r="F26" s="4">
        <v>77</v>
      </c>
      <c r="G26" s="4">
        <v>44</v>
      </c>
      <c r="H26" s="4">
        <v>854</v>
      </c>
      <c r="I26" s="4">
        <v>130.5</v>
      </c>
      <c r="J26" s="4">
        <v>14</v>
      </c>
      <c r="K26" s="4">
        <v>363</v>
      </c>
      <c r="L26" s="4">
        <v>39</v>
      </c>
      <c r="M26" s="4">
        <v>53</v>
      </c>
      <c r="N26" s="4">
        <v>1136</v>
      </c>
      <c r="O26" s="4">
        <v>64</v>
      </c>
      <c r="P26" s="4">
        <v>48</v>
      </c>
      <c r="Q26" s="4">
        <v>928</v>
      </c>
      <c r="R26" s="4">
        <v>80</v>
      </c>
      <c r="S26" s="4">
        <v>33</v>
      </c>
      <c r="T26" s="4">
        <v>497</v>
      </c>
      <c r="U26" s="4">
        <v>292.5</v>
      </c>
      <c r="V26" s="4">
        <v>40</v>
      </c>
      <c r="W26" s="4">
        <v>821</v>
      </c>
      <c r="X26" s="4">
        <v>183</v>
      </c>
      <c r="Y26" s="4">
        <v>47</v>
      </c>
      <c r="Z26" s="4">
        <v>907</v>
      </c>
      <c r="AA26" s="4">
        <v>475.5</v>
      </c>
      <c r="AB26" s="4">
        <v>45</v>
      </c>
      <c r="AC26" s="4">
        <v>878</v>
      </c>
    </row>
    <row r="27" spans="1:29" x14ac:dyDescent="0.5">
      <c r="A27" s="2" t="s">
        <v>38</v>
      </c>
      <c r="B27" s="3">
        <v>25</v>
      </c>
      <c r="C27" s="4">
        <v>91</v>
      </c>
      <c r="D27" s="4">
        <v>43</v>
      </c>
      <c r="E27" s="4">
        <v>914</v>
      </c>
      <c r="F27" s="4">
        <v>123</v>
      </c>
      <c r="G27" s="4">
        <v>4</v>
      </c>
      <c r="H27" s="4">
        <v>81</v>
      </c>
      <c r="I27" s="4">
        <v>128.5</v>
      </c>
      <c r="J27" s="4">
        <v>21</v>
      </c>
      <c r="K27" s="4">
        <v>441</v>
      </c>
      <c r="L27" s="4">
        <v>98</v>
      </c>
      <c r="M27" s="4">
        <v>5</v>
      </c>
      <c r="N27" s="4">
        <v>53</v>
      </c>
      <c r="O27" s="4">
        <v>80</v>
      </c>
      <c r="P27" s="4">
        <v>25</v>
      </c>
      <c r="Q27" s="4">
        <v>411</v>
      </c>
      <c r="R27" s="4">
        <v>87</v>
      </c>
      <c r="S27" s="4">
        <v>16</v>
      </c>
      <c r="T27" s="4">
        <v>268</v>
      </c>
      <c r="U27" s="4">
        <v>342.5</v>
      </c>
      <c r="V27" s="4">
        <v>7</v>
      </c>
      <c r="W27" s="4">
        <v>208</v>
      </c>
      <c r="X27" s="4">
        <v>265</v>
      </c>
      <c r="Y27" s="4">
        <v>8</v>
      </c>
      <c r="Z27" s="4">
        <v>130</v>
      </c>
      <c r="AA27" s="4">
        <v>607.5</v>
      </c>
      <c r="AB27" s="4">
        <v>6</v>
      </c>
      <c r="AC27" s="4">
        <v>156</v>
      </c>
    </row>
    <row r="28" spans="1:29" x14ac:dyDescent="0.5">
      <c r="A28" s="2" t="s">
        <v>39</v>
      </c>
      <c r="B28" s="3">
        <v>26</v>
      </c>
      <c r="C28" s="4">
        <v>98</v>
      </c>
      <c r="D28" s="4">
        <v>28</v>
      </c>
      <c r="E28" s="4">
        <v>604</v>
      </c>
      <c r="F28" s="4">
        <v>87</v>
      </c>
      <c r="G28" s="4">
        <v>34</v>
      </c>
      <c r="H28" s="4">
        <v>660</v>
      </c>
      <c r="I28" s="4">
        <v>131.5</v>
      </c>
      <c r="J28" s="4">
        <v>13</v>
      </c>
      <c r="K28" s="4">
        <v>323</v>
      </c>
      <c r="L28" s="4">
        <v>60</v>
      </c>
      <c r="M28" s="4">
        <v>32</v>
      </c>
      <c r="N28" s="4">
        <v>683</v>
      </c>
      <c r="O28" s="4">
        <v>75</v>
      </c>
      <c r="P28" s="4">
        <v>34</v>
      </c>
      <c r="Q28" s="4">
        <v>590</v>
      </c>
      <c r="R28" s="4">
        <v>82</v>
      </c>
      <c r="S28" s="4">
        <v>30</v>
      </c>
      <c r="T28" s="4">
        <v>444</v>
      </c>
      <c r="U28" s="4">
        <v>316.5</v>
      </c>
      <c r="V28" s="4">
        <v>28</v>
      </c>
      <c r="W28" s="4">
        <v>511</v>
      </c>
      <c r="X28" s="4">
        <v>217</v>
      </c>
      <c r="Y28" s="4">
        <v>31</v>
      </c>
      <c r="Z28" s="4">
        <v>564</v>
      </c>
      <c r="AA28" s="4">
        <v>533.5</v>
      </c>
      <c r="AB28" s="4">
        <v>32</v>
      </c>
      <c r="AC28" s="4">
        <v>537</v>
      </c>
    </row>
    <row r="29" spans="1:29" x14ac:dyDescent="0.5">
      <c r="A29" s="2" t="s">
        <v>40</v>
      </c>
      <c r="B29" s="3">
        <v>27</v>
      </c>
      <c r="C29" s="4">
        <v>101</v>
      </c>
      <c r="D29" s="4">
        <v>24</v>
      </c>
      <c r="E29" s="4">
        <v>457</v>
      </c>
      <c r="F29" s="4">
        <v>47</v>
      </c>
      <c r="G29" s="4">
        <v>59</v>
      </c>
      <c r="H29" s="4">
        <v>1346</v>
      </c>
      <c r="I29" s="4">
        <v>113</v>
      </c>
      <c r="J29" s="4">
        <v>48</v>
      </c>
      <c r="K29" s="4">
        <v>970</v>
      </c>
      <c r="L29" s="4">
        <v>37</v>
      </c>
      <c r="M29" s="4">
        <v>54</v>
      </c>
      <c r="N29" s="4">
        <v>1187</v>
      </c>
      <c r="O29" s="4">
        <v>78</v>
      </c>
      <c r="P29" s="4">
        <v>28</v>
      </c>
      <c r="Q29" s="4">
        <v>460</v>
      </c>
      <c r="R29" s="4">
        <v>77</v>
      </c>
      <c r="S29" s="4">
        <v>39</v>
      </c>
      <c r="T29" s="4">
        <v>602</v>
      </c>
      <c r="U29" s="4">
        <v>261</v>
      </c>
      <c r="V29" s="4">
        <v>55</v>
      </c>
      <c r="W29" s="4">
        <v>1147</v>
      </c>
      <c r="X29" s="4">
        <v>192</v>
      </c>
      <c r="Y29" s="4">
        <v>45</v>
      </c>
      <c r="Z29" s="4">
        <v>820</v>
      </c>
      <c r="AA29" s="4">
        <v>453</v>
      </c>
      <c r="AB29" s="4">
        <v>50</v>
      </c>
      <c r="AC29" s="4">
        <v>1001</v>
      </c>
    </row>
    <row r="30" spans="1:29" x14ac:dyDescent="0.5">
      <c r="A30" s="2" t="s">
        <v>41</v>
      </c>
      <c r="B30" s="3">
        <v>28</v>
      </c>
      <c r="C30" s="4">
        <v>81</v>
      </c>
      <c r="D30" s="4">
        <v>52</v>
      </c>
      <c r="E30" s="4">
        <v>1254</v>
      </c>
      <c r="F30" s="4">
        <v>83</v>
      </c>
      <c r="G30" s="4">
        <v>37</v>
      </c>
      <c r="H30" s="4">
        <v>740</v>
      </c>
      <c r="I30" s="4">
        <v>112.5</v>
      </c>
      <c r="J30" s="4">
        <v>50</v>
      </c>
      <c r="K30" s="4">
        <v>986</v>
      </c>
      <c r="L30" s="4">
        <v>75</v>
      </c>
      <c r="M30" s="4">
        <v>19</v>
      </c>
      <c r="N30" s="4">
        <v>353</v>
      </c>
      <c r="O30" s="4">
        <v>71</v>
      </c>
      <c r="P30" s="4">
        <v>39</v>
      </c>
      <c r="Q30" s="4">
        <v>726</v>
      </c>
      <c r="R30" s="4">
        <v>77</v>
      </c>
      <c r="S30" s="4">
        <v>39</v>
      </c>
      <c r="T30" s="4">
        <v>602</v>
      </c>
      <c r="U30" s="4">
        <v>276.5</v>
      </c>
      <c r="V30" s="4">
        <v>50</v>
      </c>
      <c r="W30" s="4">
        <v>1007</v>
      </c>
      <c r="X30" s="4">
        <v>223</v>
      </c>
      <c r="Y30" s="4">
        <v>28</v>
      </c>
      <c r="Z30" s="4">
        <v>504</v>
      </c>
      <c r="AA30" s="4">
        <v>499.5</v>
      </c>
      <c r="AB30" s="4">
        <v>40</v>
      </c>
      <c r="AC30" s="4">
        <v>731</v>
      </c>
    </row>
    <row r="31" spans="1:29" x14ac:dyDescent="0.5">
      <c r="A31" s="2" t="s">
        <v>42</v>
      </c>
      <c r="B31" s="3">
        <v>29</v>
      </c>
      <c r="C31" s="4">
        <v>100</v>
      </c>
      <c r="D31" s="4">
        <v>26</v>
      </c>
      <c r="E31" s="4">
        <v>499</v>
      </c>
      <c r="F31" s="4">
        <v>96</v>
      </c>
      <c r="G31" s="4">
        <v>21</v>
      </c>
      <c r="H31" s="4">
        <v>459</v>
      </c>
      <c r="I31" s="4">
        <v>128.5</v>
      </c>
      <c r="J31" s="4">
        <v>21</v>
      </c>
      <c r="K31" s="4">
        <v>441</v>
      </c>
      <c r="L31" s="4">
        <v>83</v>
      </c>
      <c r="M31" s="4">
        <v>11</v>
      </c>
      <c r="N31" s="4">
        <v>213</v>
      </c>
      <c r="O31" s="4">
        <v>84</v>
      </c>
      <c r="P31" s="4">
        <v>18</v>
      </c>
      <c r="Q31" s="4">
        <v>279</v>
      </c>
      <c r="R31" s="4">
        <v>93</v>
      </c>
      <c r="S31" s="4">
        <v>7</v>
      </c>
      <c r="T31" s="4">
        <v>69</v>
      </c>
      <c r="U31" s="4">
        <v>324.5</v>
      </c>
      <c r="V31" s="4">
        <v>24</v>
      </c>
      <c r="W31" s="4">
        <v>424</v>
      </c>
      <c r="X31" s="4">
        <v>260</v>
      </c>
      <c r="Y31" s="4">
        <v>12</v>
      </c>
      <c r="Z31" s="4">
        <v>169</v>
      </c>
      <c r="AA31" s="4">
        <v>584.5</v>
      </c>
      <c r="AB31" s="4">
        <v>14</v>
      </c>
      <c r="AC31" s="4">
        <v>257</v>
      </c>
    </row>
    <row r="32" spans="1:29" x14ac:dyDescent="0.5">
      <c r="A32" s="2" t="s">
        <v>43</v>
      </c>
      <c r="B32" s="3">
        <v>30</v>
      </c>
      <c r="C32" s="4">
        <v>91</v>
      </c>
      <c r="D32" s="4">
        <v>43</v>
      </c>
      <c r="E32" s="4">
        <v>914</v>
      </c>
      <c r="F32" s="4">
        <v>89</v>
      </c>
      <c r="G32" s="4">
        <v>30</v>
      </c>
      <c r="H32" s="4">
        <v>619</v>
      </c>
      <c r="I32" s="4">
        <v>134</v>
      </c>
      <c r="J32" s="4">
        <v>11</v>
      </c>
      <c r="K32" s="4">
        <v>243</v>
      </c>
      <c r="L32" s="4">
        <v>65</v>
      </c>
      <c r="M32" s="4">
        <v>27</v>
      </c>
      <c r="N32" s="4">
        <v>570</v>
      </c>
      <c r="O32" s="4">
        <v>82</v>
      </c>
      <c r="P32" s="4">
        <v>20</v>
      </c>
      <c r="Q32" s="4">
        <v>347</v>
      </c>
      <c r="R32" s="4">
        <v>76</v>
      </c>
      <c r="S32" s="4">
        <v>41</v>
      </c>
      <c r="T32" s="4">
        <v>640</v>
      </c>
      <c r="U32" s="4">
        <v>314</v>
      </c>
      <c r="V32" s="4">
        <v>32</v>
      </c>
      <c r="W32" s="4">
        <v>540</v>
      </c>
      <c r="X32" s="4">
        <v>223</v>
      </c>
      <c r="Y32" s="4">
        <v>28</v>
      </c>
      <c r="Z32" s="4">
        <v>504</v>
      </c>
      <c r="AA32" s="4">
        <v>537</v>
      </c>
      <c r="AB32" s="4">
        <v>30</v>
      </c>
      <c r="AC32" s="4">
        <v>516</v>
      </c>
    </row>
    <row r="33" spans="1:29" x14ac:dyDescent="0.5">
      <c r="A33" s="2" t="s">
        <v>44</v>
      </c>
      <c r="B33" s="3">
        <v>31</v>
      </c>
      <c r="C33" s="4">
        <v>84</v>
      </c>
      <c r="D33" s="4">
        <v>50</v>
      </c>
      <c r="E33" s="4">
        <v>1173</v>
      </c>
      <c r="F33" s="4">
        <v>78</v>
      </c>
      <c r="G33" s="4">
        <v>42</v>
      </c>
      <c r="H33" s="4">
        <v>835</v>
      </c>
      <c r="I33" s="4">
        <v>105.5</v>
      </c>
      <c r="J33" s="4">
        <v>54</v>
      </c>
      <c r="K33" s="4">
        <v>1164</v>
      </c>
      <c r="L33" s="4">
        <v>48</v>
      </c>
      <c r="M33" s="4">
        <v>47</v>
      </c>
      <c r="N33" s="4">
        <v>948</v>
      </c>
      <c r="O33" s="4">
        <v>62</v>
      </c>
      <c r="P33" s="4">
        <v>51</v>
      </c>
      <c r="Q33" s="4">
        <v>987</v>
      </c>
      <c r="R33" s="4">
        <v>67</v>
      </c>
      <c r="S33" s="4">
        <v>51</v>
      </c>
      <c r="T33" s="4">
        <v>918</v>
      </c>
      <c r="U33" s="4">
        <v>267.5</v>
      </c>
      <c r="V33" s="4">
        <v>54</v>
      </c>
      <c r="W33" s="4">
        <v>1080</v>
      </c>
      <c r="X33" s="4">
        <v>177</v>
      </c>
      <c r="Y33" s="4">
        <v>49</v>
      </c>
      <c r="Z33" s="4">
        <v>968</v>
      </c>
      <c r="AA33" s="4">
        <v>444.5</v>
      </c>
      <c r="AB33" s="4">
        <v>54</v>
      </c>
      <c r="AC33" s="4">
        <v>1048</v>
      </c>
    </row>
    <row r="34" spans="1:29" x14ac:dyDescent="0.5">
      <c r="A34" s="2" t="s">
        <v>45</v>
      </c>
      <c r="B34" s="3">
        <v>32</v>
      </c>
      <c r="C34" s="4">
        <v>108</v>
      </c>
      <c r="D34" s="4">
        <v>13</v>
      </c>
      <c r="E34" s="4">
        <v>207</v>
      </c>
      <c r="F34" s="4">
        <v>104</v>
      </c>
      <c r="G34" s="4">
        <v>15</v>
      </c>
      <c r="H34" s="4">
        <v>314</v>
      </c>
      <c r="I34" s="4">
        <v>102.5</v>
      </c>
      <c r="J34" s="4">
        <v>56</v>
      </c>
      <c r="K34" s="4">
        <v>1213</v>
      </c>
      <c r="L34" s="4">
        <v>76</v>
      </c>
      <c r="M34" s="4">
        <v>18</v>
      </c>
      <c r="N34" s="4">
        <v>330</v>
      </c>
      <c r="O34" s="4">
        <v>80</v>
      </c>
      <c r="P34" s="4">
        <v>25</v>
      </c>
      <c r="Q34" s="4">
        <v>411</v>
      </c>
      <c r="R34" s="4">
        <v>78</v>
      </c>
      <c r="S34" s="4">
        <v>36</v>
      </c>
      <c r="T34" s="4">
        <v>568</v>
      </c>
      <c r="U34" s="4">
        <v>314.5</v>
      </c>
      <c r="V34" s="4">
        <v>30</v>
      </c>
      <c r="W34" s="4">
        <v>536</v>
      </c>
      <c r="X34" s="4">
        <v>234</v>
      </c>
      <c r="Y34" s="4">
        <v>23</v>
      </c>
      <c r="Z34" s="4">
        <v>407</v>
      </c>
      <c r="AA34" s="4">
        <v>548.5</v>
      </c>
      <c r="AB34" s="4">
        <v>23</v>
      </c>
      <c r="AC34" s="4">
        <v>449</v>
      </c>
    </row>
    <row r="35" spans="1:29" x14ac:dyDescent="0.5">
      <c r="A35" s="2" t="s">
        <v>46</v>
      </c>
      <c r="B35" s="3">
        <v>33</v>
      </c>
      <c r="C35" s="4">
        <v>112</v>
      </c>
      <c r="D35" s="4">
        <v>4</v>
      </c>
      <c r="E35" s="4">
        <v>104</v>
      </c>
      <c r="F35" s="4">
        <v>89</v>
      </c>
      <c r="G35" s="4">
        <v>30</v>
      </c>
      <c r="H35" s="4">
        <v>619</v>
      </c>
      <c r="I35" s="4">
        <v>130</v>
      </c>
      <c r="J35" s="4">
        <v>15</v>
      </c>
      <c r="K35" s="4">
        <v>378</v>
      </c>
      <c r="L35" s="4">
        <v>49</v>
      </c>
      <c r="M35" s="4">
        <v>44</v>
      </c>
      <c r="N35" s="4">
        <v>926</v>
      </c>
      <c r="O35" s="4">
        <v>68</v>
      </c>
      <c r="P35" s="4">
        <v>45</v>
      </c>
      <c r="Q35" s="4">
        <v>803</v>
      </c>
      <c r="R35" s="4">
        <v>70</v>
      </c>
      <c r="S35" s="4">
        <v>47</v>
      </c>
      <c r="T35" s="4">
        <v>815</v>
      </c>
      <c r="U35" s="4">
        <v>331</v>
      </c>
      <c r="V35" s="4">
        <v>18</v>
      </c>
      <c r="W35" s="4">
        <v>343</v>
      </c>
      <c r="X35" s="4">
        <v>187</v>
      </c>
      <c r="Y35" s="4">
        <v>46</v>
      </c>
      <c r="Z35" s="4">
        <v>870</v>
      </c>
      <c r="AA35" s="4">
        <v>518</v>
      </c>
      <c r="AB35" s="4">
        <v>36</v>
      </c>
      <c r="AC35" s="4">
        <v>628</v>
      </c>
    </row>
    <row r="36" spans="1:29" x14ac:dyDescent="0.5">
      <c r="A36" s="2" t="s">
        <v>47</v>
      </c>
      <c r="B36" s="3">
        <v>34</v>
      </c>
      <c r="C36" s="4">
        <v>84</v>
      </c>
      <c r="D36" s="4">
        <v>50</v>
      </c>
      <c r="E36" s="4">
        <v>1173</v>
      </c>
      <c r="F36" s="4">
        <v>85</v>
      </c>
      <c r="G36" s="4">
        <v>36</v>
      </c>
      <c r="H36" s="4">
        <v>707</v>
      </c>
      <c r="I36" s="4">
        <v>129</v>
      </c>
      <c r="J36" s="4">
        <v>19</v>
      </c>
      <c r="K36" s="4">
        <v>425</v>
      </c>
      <c r="L36" s="4">
        <v>30</v>
      </c>
      <c r="M36" s="4">
        <v>59</v>
      </c>
      <c r="N36" s="4">
        <v>1306</v>
      </c>
      <c r="O36" s="4">
        <v>64</v>
      </c>
      <c r="P36" s="4">
        <v>48</v>
      </c>
      <c r="Q36" s="4">
        <v>928</v>
      </c>
      <c r="R36" s="4">
        <v>57</v>
      </c>
      <c r="S36" s="4">
        <v>56</v>
      </c>
      <c r="T36" s="4">
        <v>1140</v>
      </c>
      <c r="U36" s="4">
        <v>298</v>
      </c>
      <c r="V36" s="4">
        <v>37</v>
      </c>
      <c r="W36" s="4">
        <v>752</v>
      </c>
      <c r="X36" s="4">
        <v>151</v>
      </c>
      <c r="Y36" s="4">
        <v>57</v>
      </c>
      <c r="Z36" s="4">
        <v>1178</v>
      </c>
      <c r="AA36" s="4">
        <v>449</v>
      </c>
      <c r="AB36" s="4">
        <v>52</v>
      </c>
      <c r="AC36" s="4">
        <v>1021</v>
      </c>
    </row>
    <row r="37" spans="1:29" x14ac:dyDescent="0.5">
      <c r="A37" s="2" t="s">
        <v>48</v>
      </c>
      <c r="B37" s="3">
        <v>35</v>
      </c>
      <c r="C37" s="4">
        <v>109</v>
      </c>
      <c r="D37" s="4">
        <v>10</v>
      </c>
      <c r="E37" s="4">
        <v>175</v>
      </c>
      <c r="F37" s="4">
        <v>129</v>
      </c>
      <c r="G37" s="4">
        <v>3</v>
      </c>
      <c r="H37" s="4">
        <v>43</v>
      </c>
      <c r="I37" s="4">
        <v>110.5</v>
      </c>
      <c r="J37" s="4">
        <v>51</v>
      </c>
      <c r="K37" s="4">
        <v>1041</v>
      </c>
      <c r="L37" s="4">
        <v>61</v>
      </c>
      <c r="M37" s="4">
        <v>30</v>
      </c>
      <c r="N37" s="4">
        <v>655</v>
      </c>
      <c r="O37" s="4">
        <v>83</v>
      </c>
      <c r="P37" s="4">
        <v>19</v>
      </c>
      <c r="Q37" s="4">
        <v>337</v>
      </c>
      <c r="R37" s="4">
        <v>91</v>
      </c>
      <c r="S37" s="4">
        <v>8</v>
      </c>
      <c r="T37" s="4">
        <v>128</v>
      </c>
      <c r="U37" s="4">
        <v>348.5</v>
      </c>
      <c r="V37" s="4">
        <v>4</v>
      </c>
      <c r="W37" s="4">
        <v>160</v>
      </c>
      <c r="X37" s="4">
        <v>235</v>
      </c>
      <c r="Y37" s="4">
        <v>22</v>
      </c>
      <c r="Z37" s="4">
        <v>403</v>
      </c>
      <c r="AA37" s="4">
        <v>583.5</v>
      </c>
      <c r="AB37" s="4">
        <v>15</v>
      </c>
      <c r="AC37" s="4">
        <v>261</v>
      </c>
    </row>
    <row r="38" spans="1:29" x14ac:dyDescent="0.5">
      <c r="A38" s="2" t="s">
        <v>49</v>
      </c>
      <c r="B38" s="3">
        <v>36</v>
      </c>
      <c r="C38" s="4">
        <v>91</v>
      </c>
      <c r="D38" s="4">
        <v>43</v>
      </c>
      <c r="E38" s="4">
        <v>914</v>
      </c>
      <c r="F38" s="4">
        <v>109</v>
      </c>
      <c r="G38" s="4">
        <v>11</v>
      </c>
      <c r="H38" s="4">
        <v>227</v>
      </c>
      <c r="I38" s="4">
        <v>138.5</v>
      </c>
      <c r="J38" s="4">
        <v>3</v>
      </c>
      <c r="K38" s="4">
        <v>94</v>
      </c>
      <c r="L38" s="4">
        <v>75</v>
      </c>
      <c r="M38" s="4">
        <v>19</v>
      </c>
      <c r="N38" s="4">
        <v>353</v>
      </c>
      <c r="O38" s="4">
        <v>94</v>
      </c>
      <c r="P38" s="4">
        <v>4</v>
      </c>
      <c r="Q38" s="4">
        <v>27</v>
      </c>
      <c r="R38" s="4">
        <v>98</v>
      </c>
      <c r="S38" s="4">
        <v>1</v>
      </c>
      <c r="T38" s="4">
        <v>2</v>
      </c>
      <c r="U38" s="4">
        <v>338.5</v>
      </c>
      <c r="V38" s="4">
        <v>10</v>
      </c>
      <c r="W38" s="4">
        <v>247</v>
      </c>
      <c r="X38" s="4">
        <v>267</v>
      </c>
      <c r="Y38" s="4">
        <v>7</v>
      </c>
      <c r="Z38" s="4">
        <v>118</v>
      </c>
      <c r="AA38" s="4">
        <v>605.5</v>
      </c>
      <c r="AB38" s="4">
        <v>8</v>
      </c>
      <c r="AC38" s="4">
        <v>160</v>
      </c>
    </row>
    <row r="39" spans="1:29" x14ac:dyDescent="0.5">
      <c r="A39" s="2" t="s">
        <v>50</v>
      </c>
      <c r="B39" s="3">
        <v>37</v>
      </c>
      <c r="C39" s="4">
        <v>107</v>
      </c>
      <c r="D39" s="4">
        <v>14</v>
      </c>
      <c r="E39" s="4">
        <v>243</v>
      </c>
      <c r="F39" s="4">
        <v>95</v>
      </c>
      <c r="G39" s="4">
        <v>22</v>
      </c>
      <c r="H39" s="4">
        <v>483</v>
      </c>
      <c r="I39" s="4">
        <v>134.5</v>
      </c>
      <c r="J39" s="4">
        <v>9</v>
      </c>
      <c r="K39" s="4">
        <v>231</v>
      </c>
      <c r="L39" s="4">
        <v>80</v>
      </c>
      <c r="M39" s="4">
        <v>15</v>
      </c>
      <c r="N39" s="4">
        <v>264</v>
      </c>
      <c r="O39" s="4">
        <v>86</v>
      </c>
      <c r="P39" s="4">
        <v>14</v>
      </c>
      <c r="Q39" s="4">
        <v>220</v>
      </c>
      <c r="R39" s="4">
        <v>94</v>
      </c>
      <c r="S39" s="4">
        <v>5</v>
      </c>
      <c r="T39" s="4">
        <v>50</v>
      </c>
      <c r="U39" s="4">
        <v>336.5</v>
      </c>
      <c r="V39" s="4">
        <v>13</v>
      </c>
      <c r="W39" s="4">
        <v>279</v>
      </c>
      <c r="X39" s="4">
        <v>260</v>
      </c>
      <c r="Y39" s="4">
        <v>12</v>
      </c>
      <c r="Z39" s="4">
        <v>169</v>
      </c>
      <c r="AA39" s="4">
        <v>596.5</v>
      </c>
      <c r="AB39" s="4">
        <v>11</v>
      </c>
      <c r="AC39" s="4">
        <v>194</v>
      </c>
    </row>
    <row r="40" spans="1:29" x14ac:dyDescent="0.5">
      <c r="A40" s="2" t="s">
        <v>51</v>
      </c>
      <c r="B40" s="3">
        <v>38</v>
      </c>
      <c r="C40" s="4">
        <v>94</v>
      </c>
      <c r="D40" s="4">
        <v>37</v>
      </c>
      <c r="E40" s="4">
        <v>795</v>
      </c>
      <c r="F40" s="4">
        <v>61</v>
      </c>
      <c r="G40" s="4">
        <v>52</v>
      </c>
      <c r="H40" s="4">
        <v>1151</v>
      </c>
      <c r="I40" s="4">
        <v>117</v>
      </c>
      <c r="J40" s="4">
        <v>42</v>
      </c>
      <c r="K40" s="4">
        <v>847</v>
      </c>
      <c r="L40" s="4">
        <v>43</v>
      </c>
      <c r="M40" s="4">
        <v>49</v>
      </c>
      <c r="N40" s="4">
        <v>1046</v>
      </c>
      <c r="O40" s="4">
        <v>70</v>
      </c>
      <c r="P40" s="4">
        <v>41</v>
      </c>
      <c r="Q40" s="4">
        <v>743</v>
      </c>
      <c r="R40" s="4">
        <v>80</v>
      </c>
      <c r="S40" s="4">
        <v>33</v>
      </c>
      <c r="T40" s="4">
        <v>497</v>
      </c>
      <c r="U40" s="4">
        <v>272</v>
      </c>
      <c r="V40" s="4">
        <v>51</v>
      </c>
      <c r="W40" s="4">
        <v>1048</v>
      </c>
      <c r="X40" s="4">
        <v>193</v>
      </c>
      <c r="Y40" s="4">
        <v>44</v>
      </c>
      <c r="Z40" s="4">
        <v>812</v>
      </c>
      <c r="AA40" s="4">
        <v>465</v>
      </c>
      <c r="AB40" s="4">
        <v>48</v>
      </c>
      <c r="AC40" s="4">
        <v>925</v>
      </c>
    </row>
    <row r="41" spans="1:29" x14ac:dyDescent="0.5">
      <c r="A41" s="2" t="s">
        <v>52</v>
      </c>
      <c r="B41" s="3">
        <v>39</v>
      </c>
      <c r="C41" s="4">
        <v>75</v>
      </c>
      <c r="D41" s="4">
        <v>55</v>
      </c>
      <c r="E41" s="4">
        <v>1345</v>
      </c>
      <c r="F41" s="4">
        <v>93</v>
      </c>
      <c r="G41" s="4">
        <v>26</v>
      </c>
      <c r="H41" s="4">
        <v>526</v>
      </c>
      <c r="I41" s="4">
        <v>101</v>
      </c>
      <c r="J41" s="4">
        <v>57</v>
      </c>
      <c r="K41" s="4">
        <v>1231</v>
      </c>
      <c r="L41" s="4">
        <v>55</v>
      </c>
      <c r="M41" s="4">
        <v>36</v>
      </c>
      <c r="N41" s="4">
        <v>810</v>
      </c>
      <c r="O41" s="4">
        <v>86</v>
      </c>
      <c r="P41" s="4">
        <v>14</v>
      </c>
      <c r="Q41" s="4">
        <v>220</v>
      </c>
      <c r="R41" s="4">
        <v>84</v>
      </c>
      <c r="S41" s="4">
        <v>23</v>
      </c>
      <c r="T41" s="4">
        <v>379</v>
      </c>
      <c r="U41" s="4">
        <v>269</v>
      </c>
      <c r="V41" s="4">
        <v>53</v>
      </c>
      <c r="W41" s="4">
        <v>1067</v>
      </c>
      <c r="X41" s="4">
        <v>225</v>
      </c>
      <c r="Y41" s="4">
        <v>26</v>
      </c>
      <c r="Z41" s="4">
        <v>485</v>
      </c>
      <c r="AA41" s="4">
        <v>494</v>
      </c>
      <c r="AB41" s="4">
        <v>42</v>
      </c>
      <c r="AC41" s="4">
        <v>761</v>
      </c>
    </row>
    <row r="42" spans="1:29" x14ac:dyDescent="0.5">
      <c r="A42" s="2" t="s">
        <v>53</v>
      </c>
      <c r="B42" s="3">
        <v>40</v>
      </c>
      <c r="C42" s="4">
        <v>96</v>
      </c>
      <c r="D42" s="4">
        <v>33</v>
      </c>
      <c r="E42" s="4">
        <v>696</v>
      </c>
      <c r="F42" s="4">
        <v>69</v>
      </c>
      <c r="G42" s="4">
        <v>48</v>
      </c>
      <c r="H42" s="4">
        <v>1027</v>
      </c>
      <c r="I42" s="4">
        <v>126</v>
      </c>
      <c r="J42" s="4">
        <v>26</v>
      </c>
      <c r="K42" s="4">
        <v>521</v>
      </c>
      <c r="L42" s="4">
        <v>52</v>
      </c>
      <c r="M42" s="4">
        <v>38</v>
      </c>
      <c r="N42" s="4">
        <v>860</v>
      </c>
      <c r="O42" s="4">
        <v>77</v>
      </c>
      <c r="P42" s="4">
        <v>30</v>
      </c>
      <c r="Q42" s="4">
        <v>518</v>
      </c>
      <c r="R42" s="4">
        <v>83</v>
      </c>
      <c r="S42" s="4">
        <v>26</v>
      </c>
      <c r="T42" s="4">
        <v>407</v>
      </c>
      <c r="U42" s="4">
        <v>291</v>
      </c>
      <c r="V42" s="4">
        <v>42</v>
      </c>
      <c r="W42" s="4">
        <v>849</v>
      </c>
      <c r="X42" s="4">
        <v>212</v>
      </c>
      <c r="Y42" s="4">
        <v>33</v>
      </c>
      <c r="Z42" s="4">
        <v>615</v>
      </c>
      <c r="AA42" s="4">
        <v>503</v>
      </c>
      <c r="AB42" s="4">
        <v>38</v>
      </c>
      <c r="AC42" s="4">
        <v>711</v>
      </c>
    </row>
    <row r="43" spans="1:29" x14ac:dyDescent="0.5">
      <c r="A43" s="2" t="s">
        <v>54</v>
      </c>
      <c r="B43" s="3">
        <v>41</v>
      </c>
      <c r="C43" s="4">
        <v>94</v>
      </c>
      <c r="D43" s="4">
        <v>37</v>
      </c>
      <c r="E43" s="4">
        <v>795</v>
      </c>
      <c r="F43" s="4">
        <v>115</v>
      </c>
      <c r="G43" s="4">
        <v>7</v>
      </c>
      <c r="H43" s="4">
        <v>147</v>
      </c>
      <c r="I43" s="4">
        <v>115</v>
      </c>
      <c r="J43" s="4">
        <v>44</v>
      </c>
      <c r="K43" s="4">
        <v>916</v>
      </c>
      <c r="L43" s="4">
        <v>93</v>
      </c>
      <c r="M43" s="4">
        <v>6</v>
      </c>
      <c r="N43" s="4">
        <v>88</v>
      </c>
      <c r="O43" s="4">
        <v>96</v>
      </c>
      <c r="P43" s="4">
        <v>2</v>
      </c>
      <c r="Q43" s="4">
        <v>11</v>
      </c>
      <c r="R43" s="4">
        <v>94</v>
      </c>
      <c r="S43" s="4">
        <v>5</v>
      </c>
      <c r="T43" s="4">
        <v>50</v>
      </c>
      <c r="U43" s="4">
        <v>324</v>
      </c>
      <c r="V43" s="4">
        <v>25</v>
      </c>
      <c r="W43" s="4">
        <v>430</v>
      </c>
      <c r="X43" s="4">
        <v>283</v>
      </c>
      <c r="Y43" s="4">
        <v>3</v>
      </c>
      <c r="Z43" s="4">
        <v>39</v>
      </c>
      <c r="AA43" s="4">
        <v>607</v>
      </c>
      <c r="AB43" s="4">
        <v>7</v>
      </c>
      <c r="AC43" s="4">
        <v>157</v>
      </c>
    </row>
    <row r="44" spans="1:29" x14ac:dyDescent="0.5">
      <c r="A44" s="2" t="s">
        <v>55</v>
      </c>
      <c r="B44" s="3">
        <v>42</v>
      </c>
      <c r="C44" s="4">
        <v>77</v>
      </c>
      <c r="D44" s="4">
        <v>54</v>
      </c>
      <c r="E44" s="4">
        <v>1325</v>
      </c>
      <c r="F44" s="4">
        <v>121</v>
      </c>
      <c r="G44" s="4">
        <v>6</v>
      </c>
      <c r="H44" s="4">
        <v>100</v>
      </c>
      <c r="I44" s="4">
        <v>121.5</v>
      </c>
      <c r="J44" s="4">
        <v>38</v>
      </c>
      <c r="K44" s="4">
        <v>691</v>
      </c>
      <c r="L44" s="4">
        <v>65</v>
      </c>
      <c r="M44" s="4">
        <v>27</v>
      </c>
      <c r="N44" s="4">
        <v>570</v>
      </c>
      <c r="O44" s="4">
        <v>82</v>
      </c>
      <c r="P44" s="4">
        <v>20</v>
      </c>
      <c r="Q44" s="4">
        <v>347</v>
      </c>
      <c r="R44" s="4">
        <v>91</v>
      </c>
      <c r="S44" s="4">
        <v>8</v>
      </c>
      <c r="T44" s="4">
        <v>128</v>
      </c>
      <c r="U44" s="4">
        <v>319.5</v>
      </c>
      <c r="V44" s="4">
        <v>27</v>
      </c>
      <c r="W44" s="4">
        <v>482</v>
      </c>
      <c r="X44" s="4">
        <v>238</v>
      </c>
      <c r="Y44" s="4">
        <v>20</v>
      </c>
      <c r="Z44" s="4">
        <v>363</v>
      </c>
      <c r="AA44" s="4">
        <v>557.5</v>
      </c>
      <c r="AB44" s="4">
        <v>20</v>
      </c>
      <c r="AC44" s="4">
        <v>390</v>
      </c>
    </row>
    <row r="45" spans="1:29" x14ac:dyDescent="0.5">
      <c r="A45" s="2" t="s">
        <v>56</v>
      </c>
      <c r="B45" s="3">
        <v>43</v>
      </c>
      <c r="C45" s="4">
        <v>104</v>
      </c>
      <c r="D45" s="4">
        <v>20</v>
      </c>
      <c r="E45" s="4">
        <v>339</v>
      </c>
      <c r="F45" s="4">
        <v>94</v>
      </c>
      <c r="G45" s="4">
        <v>25</v>
      </c>
      <c r="H45" s="4">
        <v>510</v>
      </c>
      <c r="I45" s="4">
        <v>130</v>
      </c>
      <c r="J45" s="4">
        <v>15</v>
      </c>
      <c r="K45" s="4">
        <v>378</v>
      </c>
      <c r="L45" s="4">
        <v>32</v>
      </c>
      <c r="M45" s="4">
        <v>57</v>
      </c>
      <c r="N45" s="4">
        <v>1272</v>
      </c>
      <c r="O45" s="4">
        <v>76</v>
      </c>
      <c r="P45" s="4">
        <v>32</v>
      </c>
      <c r="Q45" s="4">
        <v>534</v>
      </c>
      <c r="R45" s="4">
        <v>87</v>
      </c>
      <c r="S45" s="4">
        <v>16</v>
      </c>
      <c r="T45" s="4">
        <v>268</v>
      </c>
      <c r="U45" s="4">
        <v>328</v>
      </c>
      <c r="V45" s="4">
        <v>23</v>
      </c>
      <c r="W45" s="4">
        <v>371</v>
      </c>
      <c r="X45" s="4">
        <v>195</v>
      </c>
      <c r="Y45" s="4">
        <v>43</v>
      </c>
      <c r="Z45" s="4">
        <v>796</v>
      </c>
      <c r="AA45" s="4">
        <v>523</v>
      </c>
      <c r="AB45" s="4">
        <v>34</v>
      </c>
      <c r="AC45" s="4">
        <v>600</v>
      </c>
    </row>
    <row r="46" spans="1:29" x14ac:dyDescent="0.5">
      <c r="A46" s="2" t="s">
        <v>57</v>
      </c>
      <c r="B46" s="3">
        <v>44</v>
      </c>
      <c r="C46" s="4">
        <v>114</v>
      </c>
      <c r="D46" s="4">
        <v>2</v>
      </c>
      <c r="E46" s="4">
        <v>61</v>
      </c>
      <c r="F46" s="4">
        <v>133</v>
      </c>
      <c r="G46" s="4">
        <v>1</v>
      </c>
      <c r="H46" s="4">
        <v>28</v>
      </c>
      <c r="I46" s="4">
        <v>141</v>
      </c>
      <c r="J46" s="4">
        <v>1</v>
      </c>
      <c r="K46" s="4">
        <v>49</v>
      </c>
      <c r="L46" s="4">
        <v>101</v>
      </c>
      <c r="M46" s="4">
        <v>3</v>
      </c>
      <c r="N46" s="4">
        <v>34</v>
      </c>
      <c r="O46" s="4">
        <v>90</v>
      </c>
      <c r="P46" s="4">
        <v>6</v>
      </c>
      <c r="Q46" s="4">
        <v>98</v>
      </c>
      <c r="R46" s="4">
        <v>90</v>
      </c>
      <c r="S46" s="4">
        <v>11</v>
      </c>
      <c r="T46" s="4">
        <v>161</v>
      </c>
      <c r="U46" s="4">
        <v>388</v>
      </c>
      <c r="V46" s="4">
        <v>1</v>
      </c>
      <c r="W46" s="4">
        <v>14</v>
      </c>
      <c r="X46" s="4">
        <v>281</v>
      </c>
      <c r="Y46" s="4">
        <v>4</v>
      </c>
      <c r="Z46" s="4">
        <v>45</v>
      </c>
      <c r="AA46" s="4">
        <v>669</v>
      </c>
      <c r="AB46" s="4">
        <v>1</v>
      </c>
      <c r="AC46" s="4">
        <v>16</v>
      </c>
    </row>
    <row r="47" spans="1:29" x14ac:dyDescent="0.5">
      <c r="A47" s="2" t="s">
        <v>58</v>
      </c>
      <c r="B47" s="3">
        <v>45</v>
      </c>
      <c r="C47" s="4">
        <v>93</v>
      </c>
      <c r="D47" s="4">
        <v>39</v>
      </c>
      <c r="E47" s="4">
        <v>824</v>
      </c>
      <c r="F47" s="4">
        <v>112</v>
      </c>
      <c r="G47" s="4">
        <v>8</v>
      </c>
      <c r="H47" s="4">
        <v>181</v>
      </c>
      <c r="I47" s="4">
        <v>138</v>
      </c>
      <c r="J47" s="4">
        <v>6</v>
      </c>
      <c r="K47" s="4">
        <v>114</v>
      </c>
      <c r="L47" s="4">
        <v>72</v>
      </c>
      <c r="M47" s="4">
        <v>23</v>
      </c>
      <c r="N47" s="4">
        <v>427</v>
      </c>
      <c r="O47" s="4">
        <v>82</v>
      </c>
      <c r="P47" s="4">
        <v>20</v>
      </c>
      <c r="Q47" s="4">
        <v>347</v>
      </c>
      <c r="R47" s="4">
        <v>82</v>
      </c>
      <c r="S47" s="4">
        <v>30</v>
      </c>
      <c r="T47" s="4">
        <v>444</v>
      </c>
      <c r="U47" s="4">
        <v>343</v>
      </c>
      <c r="V47" s="4">
        <v>6</v>
      </c>
      <c r="W47" s="4">
        <v>202</v>
      </c>
      <c r="X47" s="4">
        <v>236</v>
      </c>
      <c r="Y47" s="4">
        <v>21</v>
      </c>
      <c r="Z47" s="4">
        <v>389</v>
      </c>
      <c r="AA47" s="4">
        <v>579</v>
      </c>
      <c r="AB47" s="4">
        <v>17</v>
      </c>
      <c r="AC47" s="4">
        <v>285</v>
      </c>
    </row>
    <row r="48" spans="1:29" x14ac:dyDescent="0.5">
      <c r="A48" s="2" t="s">
        <v>59</v>
      </c>
      <c r="B48" s="3">
        <v>46</v>
      </c>
      <c r="C48" s="4">
        <v>91</v>
      </c>
      <c r="D48" s="4">
        <v>43</v>
      </c>
      <c r="E48" s="4">
        <v>914</v>
      </c>
      <c r="F48" s="4">
        <v>80</v>
      </c>
      <c r="G48" s="4">
        <v>40</v>
      </c>
      <c r="H48" s="4">
        <v>800</v>
      </c>
      <c r="I48" s="4">
        <v>107.5</v>
      </c>
      <c r="J48" s="4">
        <v>53</v>
      </c>
      <c r="K48" s="4">
        <v>1126</v>
      </c>
      <c r="L48" s="4">
        <v>51</v>
      </c>
      <c r="M48" s="4">
        <v>40</v>
      </c>
      <c r="N48" s="4">
        <v>883</v>
      </c>
      <c r="O48" s="4">
        <v>64</v>
      </c>
      <c r="P48" s="4">
        <v>48</v>
      </c>
      <c r="Q48" s="4">
        <v>928</v>
      </c>
      <c r="R48" s="4">
        <v>61</v>
      </c>
      <c r="S48" s="4">
        <v>55</v>
      </c>
      <c r="T48" s="4">
        <v>1059</v>
      </c>
      <c r="U48" s="4">
        <v>278.5</v>
      </c>
      <c r="V48" s="4">
        <v>49</v>
      </c>
      <c r="W48" s="4">
        <v>981</v>
      </c>
      <c r="X48" s="4">
        <v>176</v>
      </c>
      <c r="Y48" s="4">
        <v>51</v>
      </c>
      <c r="Z48" s="4">
        <v>975</v>
      </c>
      <c r="AA48" s="4">
        <v>454.5</v>
      </c>
      <c r="AB48" s="4">
        <v>49</v>
      </c>
      <c r="AC48" s="4">
        <v>992</v>
      </c>
    </row>
    <row r="49" spans="1:29" x14ac:dyDescent="0.5">
      <c r="A49" s="2" t="s">
        <v>60</v>
      </c>
      <c r="B49" s="3">
        <v>47</v>
      </c>
      <c r="C49" s="4">
        <v>96</v>
      </c>
      <c r="D49" s="4">
        <v>33</v>
      </c>
      <c r="E49" s="4">
        <v>696</v>
      </c>
      <c r="F49" s="4">
        <v>83</v>
      </c>
      <c r="G49" s="4">
        <v>37</v>
      </c>
      <c r="H49" s="4">
        <v>740</v>
      </c>
      <c r="I49" s="4">
        <v>128.5</v>
      </c>
      <c r="J49" s="4">
        <v>21</v>
      </c>
      <c r="K49" s="4">
        <v>441</v>
      </c>
      <c r="L49" s="4">
        <v>53</v>
      </c>
      <c r="M49" s="4">
        <v>37</v>
      </c>
      <c r="N49" s="4">
        <v>843</v>
      </c>
      <c r="O49" s="4">
        <v>59</v>
      </c>
      <c r="P49" s="4">
        <v>53</v>
      </c>
      <c r="Q49" s="4">
        <v>1061</v>
      </c>
      <c r="R49" s="4">
        <v>65</v>
      </c>
      <c r="S49" s="4">
        <v>53</v>
      </c>
      <c r="T49" s="4">
        <v>962</v>
      </c>
      <c r="U49" s="4">
        <v>307.5</v>
      </c>
      <c r="V49" s="4">
        <v>34</v>
      </c>
      <c r="W49" s="4">
        <v>621</v>
      </c>
      <c r="X49" s="4">
        <v>177</v>
      </c>
      <c r="Y49" s="4">
        <v>49</v>
      </c>
      <c r="Z49" s="4">
        <v>968</v>
      </c>
      <c r="AA49" s="4">
        <v>484.5</v>
      </c>
      <c r="AB49" s="4">
        <v>43</v>
      </c>
      <c r="AC49" s="4">
        <v>826</v>
      </c>
    </row>
    <row r="50" spans="1:29" x14ac:dyDescent="0.5">
      <c r="A50" s="2" t="s">
        <v>61</v>
      </c>
      <c r="B50" s="3">
        <v>48</v>
      </c>
      <c r="C50" s="4">
        <v>111</v>
      </c>
      <c r="D50" s="4">
        <v>7</v>
      </c>
      <c r="E50" s="4">
        <v>131</v>
      </c>
      <c r="F50" s="4">
        <v>54</v>
      </c>
      <c r="G50" s="4">
        <v>55</v>
      </c>
      <c r="H50" s="4">
        <v>1268</v>
      </c>
      <c r="I50" s="4">
        <v>105</v>
      </c>
      <c r="J50" s="4">
        <v>55</v>
      </c>
      <c r="K50" s="4">
        <v>1172</v>
      </c>
      <c r="L50" s="4">
        <v>43</v>
      </c>
      <c r="M50" s="4">
        <v>49</v>
      </c>
      <c r="N50" s="4">
        <v>1046</v>
      </c>
      <c r="O50" s="4">
        <v>77</v>
      </c>
      <c r="P50" s="4">
        <v>30</v>
      </c>
      <c r="Q50" s="4">
        <v>518</v>
      </c>
      <c r="R50" s="4">
        <v>83</v>
      </c>
      <c r="S50" s="4">
        <v>26</v>
      </c>
      <c r="T50" s="4">
        <v>407</v>
      </c>
      <c r="U50" s="4">
        <v>270</v>
      </c>
      <c r="V50" s="4">
        <v>52</v>
      </c>
      <c r="W50" s="4">
        <v>1061</v>
      </c>
      <c r="X50" s="4">
        <v>203</v>
      </c>
      <c r="Y50" s="4">
        <v>39</v>
      </c>
      <c r="Z50" s="4">
        <v>703</v>
      </c>
      <c r="AA50" s="4">
        <v>473</v>
      </c>
      <c r="AB50" s="4">
        <v>46</v>
      </c>
      <c r="AC50" s="4">
        <v>891</v>
      </c>
    </row>
    <row r="51" spans="1:29" x14ac:dyDescent="0.5">
      <c r="A51" s="2" t="s">
        <v>62</v>
      </c>
      <c r="B51" s="3">
        <v>49</v>
      </c>
      <c r="C51" s="4">
        <v>110</v>
      </c>
      <c r="D51" s="4">
        <v>8</v>
      </c>
      <c r="E51" s="4">
        <v>151</v>
      </c>
      <c r="F51" s="4">
        <v>108</v>
      </c>
      <c r="G51" s="4">
        <v>13</v>
      </c>
      <c r="H51" s="4">
        <v>244</v>
      </c>
      <c r="I51" s="4">
        <v>117</v>
      </c>
      <c r="J51" s="4">
        <v>42</v>
      </c>
      <c r="K51" s="4">
        <v>847</v>
      </c>
      <c r="L51" s="4">
        <v>85</v>
      </c>
      <c r="M51" s="4">
        <v>10</v>
      </c>
      <c r="N51" s="4">
        <v>189</v>
      </c>
      <c r="O51" s="4">
        <v>88</v>
      </c>
      <c r="P51" s="4">
        <v>9</v>
      </c>
      <c r="Q51" s="4">
        <v>158</v>
      </c>
      <c r="R51" s="4">
        <v>89</v>
      </c>
      <c r="S51" s="4">
        <v>13</v>
      </c>
      <c r="T51" s="4">
        <v>191</v>
      </c>
      <c r="U51" s="4">
        <v>335</v>
      </c>
      <c r="V51" s="4">
        <v>14</v>
      </c>
      <c r="W51" s="4">
        <v>295</v>
      </c>
      <c r="X51" s="4">
        <v>262</v>
      </c>
      <c r="Y51" s="4">
        <v>11</v>
      </c>
      <c r="Z51" s="4">
        <v>154</v>
      </c>
      <c r="AA51" s="4">
        <v>597</v>
      </c>
      <c r="AB51" s="4">
        <v>10</v>
      </c>
      <c r="AC51" s="4">
        <v>191</v>
      </c>
    </row>
    <row r="52" spans="1:29" x14ac:dyDescent="0.5">
      <c r="A52" s="2" t="s">
        <v>63</v>
      </c>
      <c r="B52" s="3">
        <v>50</v>
      </c>
      <c r="C52" s="4">
        <v>112</v>
      </c>
      <c r="D52" s="4">
        <v>4</v>
      </c>
      <c r="E52" s="4">
        <v>104</v>
      </c>
      <c r="F52" s="4">
        <v>95</v>
      </c>
      <c r="G52" s="4">
        <v>22</v>
      </c>
      <c r="H52" s="4">
        <v>483</v>
      </c>
      <c r="I52" s="4">
        <v>125</v>
      </c>
      <c r="J52" s="4">
        <v>30</v>
      </c>
      <c r="K52" s="4">
        <v>555</v>
      </c>
      <c r="L52" s="4">
        <v>101</v>
      </c>
      <c r="M52" s="4">
        <v>3</v>
      </c>
      <c r="N52" s="4">
        <v>34</v>
      </c>
      <c r="O52" s="4">
        <v>96</v>
      </c>
      <c r="P52" s="4">
        <v>2</v>
      </c>
      <c r="Q52" s="4">
        <v>11</v>
      </c>
      <c r="R52" s="4">
        <v>98</v>
      </c>
      <c r="S52" s="4">
        <v>1</v>
      </c>
      <c r="T52" s="4">
        <v>2</v>
      </c>
      <c r="U52" s="4">
        <v>332</v>
      </c>
      <c r="V52" s="4">
        <v>16</v>
      </c>
      <c r="W52" s="4">
        <v>328</v>
      </c>
      <c r="X52" s="4">
        <v>295</v>
      </c>
      <c r="Y52" s="4">
        <v>1</v>
      </c>
      <c r="Z52" s="4">
        <v>5</v>
      </c>
      <c r="AA52" s="4">
        <v>627</v>
      </c>
      <c r="AB52" s="4">
        <v>5</v>
      </c>
      <c r="AC52" s="4">
        <v>92</v>
      </c>
    </row>
    <row r="53" spans="1:29" x14ac:dyDescent="0.5">
      <c r="A53" s="2" t="s">
        <v>64</v>
      </c>
      <c r="B53" s="3">
        <v>51</v>
      </c>
      <c r="C53" s="4">
        <v>103</v>
      </c>
      <c r="D53" s="4">
        <v>22</v>
      </c>
      <c r="E53" s="4">
        <v>374</v>
      </c>
      <c r="F53" s="4">
        <v>107</v>
      </c>
      <c r="G53" s="4">
        <v>14</v>
      </c>
      <c r="H53" s="4">
        <v>258</v>
      </c>
      <c r="I53" s="4">
        <v>120</v>
      </c>
      <c r="J53" s="4">
        <v>39</v>
      </c>
      <c r="K53" s="4">
        <v>752</v>
      </c>
      <c r="L53" s="4">
        <v>81</v>
      </c>
      <c r="M53" s="4">
        <v>14</v>
      </c>
      <c r="N53" s="4">
        <v>251</v>
      </c>
      <c r="O53" s="4">
        <v>86</v>
      </c>
      <c r="P53" s="4">
        <v>14</v>
      </c>
      <c r="Q53" s="4">
        <v>220</v>
      </c>
      <c r="R53" s="4">
        <v>97</v>
      </c>
      <c r="S53" s="4">
        <v>3</v>
      </c>
      <c r="T53" s="4">
        <v>10</v>
      </c>
      <c r="U53" s="4">
        <v>330</v>
      </c>
      <c r="V53" s="4">
        <v>20</v>
      </c>
      <c r="W53" s="4">
        <v>349</v>
      </c>
      <c r="X53" s="4">
        <v>264</v>
      </c>
      <c r="Y53" s="4">
        <v>10</v>
      </c>
      <c r="Z53" s="4">
        <v>136</v>
      </c>
      <c r="AA53" s="4">
        <v>594</v>
      </c>
      <c r="AB53" s="4">
        <v>12</v>
      </c>
      <c r="AC53" s="4">
        <v>206</v>
      </c>
    </row>
    <row r="54" spans="1:29" x14ac:dyDescent="0.5">
      <c r="A54" s="2" t="s">
        <v>65</v>
      </c>
      <c r="B54" s="3">
        <v>52</v>
      </c>
      <c r="C54" s="4">
        <v>79</v>
      </c>
      <c r="D54" s="4">
        <v>53</v>
      </c>
      <c r="E54" s="4">
        <v>1288</v>
      </c>
      <c r="F54" s="4">
        <v>53</v>
      </c>
      <c r="G54" s="4">
        <v>56</v>
      </c>
      <c r="H54" s="4">
        <v>1280</v>
      </c>
      <c r="I54" s="4">
        <v>113.5</v>
      </c>
      <c r="J54" s="4">
        <v>47</v>
      </c>
      <c r="K54" s="4">
        <v>959</v>
      </c>
      <c r="L54" s="4">
        <v>41</v>
      </c>
      <c r="M54" s="4">
        <v>52</v>
      </c>
      <c r="N54" s="4">
        <v>1096</v>
      </c>
      <c r="O54" s="4">
        <v>56</v>
      </c>
      <c r="P54" s="4">
        <v>56</v>
      </c>
      <c r="Q54" s="4">
        <v>1107</v>
      </c>
      <c r="R54" s="4">
        <v>69</v>
      </c>
      <c r="S54" s="4">
        <v>49</v>
      </c>
      <c r="T54" s="4">
        <v>855</v>
      </c>
      <c r="U54" s="4">
        <v>245.5</v>
      </c>
      <c r="V54" s="4">
        <v>56</v>
      </c>
      <c r="W54" s="4">
        <v>1265</v>
      </c>
      <c r="X54" s="4">
        <v>166</v>
      </c>
      <c r="Y54" s="4">
        <v>53</v>
      </c>
      <c r="Z54" s="4">
        <v>1071</v>
      </c>
      <c r="AA54" s="4">
        <v>411.5</v>
      </c>
      <c r="AB54" s="4">
        <v>56</v>
      </c>
      <c r="AC54" s="4">
        <v>1174</v>
      </c>
    </row>
    <row r="55" spans="1:29" x14ac:dyDescent="0.5">
      <c r="A55" s="2" t="s">
        <v>66</v>
      </c>
      <c r="B55" s="3">
        <v>53</v>
      </c>
      <c r="C55" s="4">
        <v>105</v>
      </c>
      <c r="D55" s="4">
        <v>16</v>
      </c>
      <c r="E55" s="4">
        <v>307</v>
      </c>
      <c r="F55" s="4">
        <v>104</v>
      </c>
      <c r="G55" s="4">
        <v>15</v>
      </c>
      <c r="H55" s="4">
        <v>314</v>
      </c>
      <c r="I55" s="4">
        <v>129</v>
      </c>
      <c r="J55" s="4">
        <v>19</v>
      </c>
      <c r="K55" s="4">
        <v>425</v>
      </c>
      <c r="L55" s="4">
        <v>51</v>
      </c>
      <c r="M55" s="4">
        <v>40</v>
      </c>
      <c r="N55" s="4">
        <v>883</v>
      </c>
      <c r="O55" s="4">
        <v>82</v>
      </c>
      <c r="P55" s="4">
        <v>20</v>
      </c>
      <c r="Q55" s="4">
        <v>347</v>
      </c>
      <c r="R55" s="4">
        <v>86</v>
      </c>
      <c r="S55" s="4">
        <v>18</v>
      </c>
      <c r="T55" s="4">
        <v>301</v>
      </c>
      <c r="U55" s="4">
        <v>338</v>
      </c>
      <c r="V55" s="4">
        <v>12</v>
      </c>
      <c r="W55" s="4">
        <v>252</v>
      </c>
      <c r="X55" s="4">
        <v>219</v>
      </c>
      <c r="Y55" s="4">
        <v>30</v>
      </c>
      <c r="Z55" s="4">
        <v>545</v>
      </c>
      <c r="AA55" s="4">
        <v>557</v>
      </c>
      <c r="AB55" s="4">
        <v>21</v>
      </c>
      <c r="AC55" s="4">
        <v>393</v>
      </c>
    </row>
    <row r="56" spans="1:29" x14ac:dyDescent="0.5">
      <c r="A56" s="2" t="s">
        <v>67</v>
      </c>
      <c r="B56" s="3">
        <v>54</v>
      </c>
      <c r="C56" s="4">
        <v>61</v>
      </c>
      <c r="D56" s="4">
        <v>59</v>
      </c>
      <c r="E56" s="4">
        <v>1412</v>
      </c>
      <c r="F56" s="4">
        <v>49</v>
      </c>
      <c r="G56" s="4">
        <v>58</v>
      </c>
      <c r="H56" s="4">
        <v>1328</v>
      </c>
      <c r="I56" s="4">
        <v>126</v>
      </c>
      <c r="J56" s="4">
        <v>26</v>
      </c>
      <c r="K56" s="4">
        <v>521</v>
      </c>
      <c r="L56" s="4">
        <v>46</v>
      </c>
      <c r="M56" s="4">
        <v>48</v>
      </c>
      <c r="N56" s="4">
        <v>986</v>
      </c>
      <c r="O56" s="4">
        <v>58</v>
      </c>
      <c r="P56" s="4">
        <v>54</v>
      </c>
      <c r="Q56" s="4">
        <v>1069</v>
      </c>
      <c r="R56" s="4">
        <v>44</v>
      </c>
      <c r="S56" s="4">
        <v>59</v>
      </c>
      <c r="T56" s="4">
        <v>1348</v>
      </c>
      <c r="U56" s="4">
        <v>236</v>
      </c>
      <c r="V56" s="4">
        <v>58</v>
      </c>
      <c r="W56" s="4">
        <v>1314</v>
      </c>
      <c r="X56" s="4">
        <v>148</v>
      </c>
      <c r="Y56" s="4">
        <v>59</v>
      </c>
      <c r="Z56" s="4">
        <v>1207</v>
      </c>
      <c r="AA56" s="4">
        <v>384</v>
      </c>
      <c r="AB56" s="4">
        <v>58</v>
      </c>
      <c r="AC56" s="4">
        <v>1284</v>
      </c>
    </row>
    <row r="57" spans="1:29" x14ac:dyDescent="0.5">
      <c r="A57" s="2" t="s">
        <v>68</v>
      </c>
      <c r="B57" s="3">
        <v>55</v>
      </c>
      <c r="C57" s="4">
        <v>110</v>
      </c>
      <c r="D57" s="4">
        <v>8</v>
      </c>
      <c r="E57" s="4">
        <v>151</v>
      </c>
      <c r="F57" s="4">
        <v>97</v>
      </c>
      <c r="G57" s="4">
        <v>19</v>
      </c>
      <c r="H57" s="4">
        <v>437</v>
      </c>
      <c r="I57" s="4">
        <v>127</v>
      </c>
      <c r="J57" s="4">
        <v>25</v>
      </c>
      <c r="K57" s="4">
        <v>490</v>
      </c>
      <c r="L57" s="4">
        <v>90</v>
      </c>
      <c r="M57" s="4">
        <v>7</v>
      </c>
      <c r="N57" s="4">
        <v>120</v>
      </c>
      <c r="O57" s="4">
        <v>86</v>
      </c>
      <c r="P57" s="4">
        <v>14</v>
      </c>
      <c r="Q57" s="4">
        <v>220</v>
      </c>
      <c r="R57" s="4">
        <v>84</v>
      </c>
      <c r="S57" s="4">
        <v>23</v>
      </c>
      <c r="T57" s="4">
        <v>379</v>
      </c>
      <c r="U57" s="4">
        <v>334</v>
      </c>
      <c r="V57" s="4">
        <v>15</v>
      </c>
      <c r="W57" s="4">
        <v>301</v>
      </c>
      <c r="X57" s="4">
        <v>260</v>
      </c>
      <c r="Y57" s="4">
        <v>12</v>
      </c>
      <c r="Z57" s="4">
        <v>169</v>
      </c>
      <c r="AA57" s="4">
        <v>594</v>
      </c>
      <c r="AB57" s="4">
        <v>12</v>
      </c>
      <c r="AC57" s="4">
        <v>206</v>
      </c>
    </row>
    <row r="58" spans="1:29" x14ac:dyDescent="0.5">
      <c r="A58" s="2" t="s">
        <v>69</v>
      </c>
      <c r="B58" s="3">
        <v>56</v>
      </c>
      <c r="C58" s="4">
        <v>112</v>
      </c>
      <c r="D58" s="4">
        <v>4</v>
      </c>
      <c r="E58" s="4">
        <v>104</v>
      </c>
      <c r="F58" s="4">
        <v>98</v>
      </c>
      <c r="G58" s="4">
        <v>18</v>
      </c>
      <c r="H58" s="4">
        <v>426</v>
      </c>
      <c r="I58" s="4">
        <v>118.5</v>
      </c>
      <c r="J58" s="4">
        <v>41</v>
      </c>
      <c r="K58" s="4">
        <v>803</v>
      </c>
      <c r="L58" s="4">
        <v>59</v>
      </c>
      <c r="M58" s="4">
        <v>34</v>
      </c>
      <c r="N58" s="4">
        <v>709</v>
      </c>
      <c r="O58" s="4">
        <v>74</v>
      </c>
      <c r="P58" s="4">
        <v>35</v>
      </c>
      <c r="Q58" s="4">
        <v>603</v>
      </c>
      <c r="R58" s="4">
        <v>78</v>
      </c>
      <c r="S58" s="4">
        <v>36</v>
      </c>
      <c r="T58" s="4">
        <v>568</v>
      </c>
      <c r="U58" s="4">
        <v>328.5</v>
      </c>
      <c r="V58" s="4">
        <v>22</v>
      </c>
      <c r="W58" s="4">
        <v>365</v>
      </c>
      <c r="X58" s="4">
        <v>211</v>
      </c>
      <c r="Y58" s="4">
        <v>34</v>
      </c>
      <c r="Z58" s="4">
        <v>626</v>
      </c>
      <c r="AA58" s="4">
        <v>539.5</v>
      </c>
      <c r="AB58" s="4">
        <v>29</v>
      </c>
      <c r="AC58" s="4">
        <v>502</v>
      </c>
    </row>
    <row r="59" spans="1:29" x14ac:dyDescent="0.5">
      <c r="A59" s="2" t="s">
        <v>70</v>
      </c>
      <c r="B59" s="3">
        <v>57</v>
      </c>
      <c r="C59" s="4">
        <v>89</v>
      </c>
      <c r="D59" s="4">
        <v>48</v>
      </c>
      <c r="E59" s="4">
        <v>1009</v>
      </c>
      <c r="F59" s="4">
        <v>68</v>
      </c>
      <c r="G59" s="4">
        <v>49</v>
      </c>
      <c r="H59" s="4">
        <v>1044</v>
      </c>
      <c r="I59" s="4">
        <v>123.5</v>
      </c>
      <c r="J59" s="4">
        <v>34</v>
      </c>
      <c r="K59" s="4">
        <v>615</v>
      </c>
      <c r="L59" s="4">
        <v>36</v>
      </c>
      <c r="M59" s="4">
        <v>55</v>
      </c>
      <c r="N59" s="4">
        <v>1206</v>
      </c>
      <c r="O59" s="4">
        <v>62</v>
      </c>
      <c r="P59" s="4">
        <v>51</v>
      </c>
      <c r="Q59" s="4">
        <v>987</v>
      </c>
      <c r="R59" s="4">
        <v>67</v>
      </c>
      <c r="S59" s="4">
        <v>51</v>
      </c>
      <c r="T59" s="4">
        <v>918</v>
      </c>
      <c r="U59" s="4">
        <v>280.5</v>
      </c>
      <c r="V59" s="4">
        <v>48</v>
      </c>
      <c r="W59" s="4">
        <v>962</v>
      </c>
      <c r="X59" s="4">
        <v>165</v>
      </c>
      <c r="Y59" s="4">
        <v>54</v>
      </c>
      <c r="Z59" s="4">
        <v>1080</v>
      </c>
      <c r="AA59" s="4">
        <v>445.5</v>
      </c>
      <c r="AB59" s="4">
        <v>53</v>
      </c>
      <c r="AC59" s="4">
        <v>1037</v>
      </c>
    </row>
    <row r="60" spans="1:29" x14ac:dyDescent="0.5">
      <c r="A60" s="2" t="s">
        <v>71</v>
      </c>
      <c r="B60" s="3">
        <v>58</v>
      </c>
      <c r="C60" s="4">
        <v>101</v>
      </c>
      <c r="D60" s="4">
        <v>24</v>
      </c>
      <c r="E60" s="4">
        <v>457</v>
      </c>
      <c r="F60" s="4">
        <v>55</v>
      </c>
      <c r="G60" s="4">
        <v>54</v>
      </c>
      <c r="H60" s="4">
        <v>1245</v>
      </c>
      <c r="I60" s="4">
        <v>125.5</v>
      </c>
      <c r="J60" s="4">
        <v>29</v>
      </c>
      <c r="K60" s="4">
        <v>541</v>
      </c>
      <c r="L60" s="4">
        <v>62</v>
      </c>
      <c r="M60" s="4">
        <v>29</v>
      </c>
      <c r="N60" s="4">
        <v>637</v>
      </c>
      <c r="O60" s="4">
        <v>66</v>
      </c>
      <c r="P60" s="4">
        <v>47</v>
      </c>
      <c r="Q60" s="4">
        <v>868</v>
      </c>
      <c r="R60" s="4">
        <v>72</v>
      </c>
      <c r="S60" s="4">
        <v>42</v>
      </c>
      <c r="T60" s="4">
        <v>757</v>
      </c>
      <c r="U60" s="4">
        <v>281.5</v>
      </c>
      <c r="V60" s="4">
        <v>46</v>
      </c>
      <c r="W60" s="4">
        <v>950</v>
      </c>
      <c r="X60" s="4">
        <v>200</v>
      </c>
      <c r="Y60" s="4">
        <v>41</v>
      </c>
      <c r="Z60" s="4">
        <v>740</v>
      </c>
      <c r="AA60" s="4">
        <v>481.5</v>
      </c>
      <c r="AB60" s="4">
        <v>44</v>
      </c>
      <c r="AC60" s="4">
        <v>841</v>
      </c>
    </row>
    <row r="61" spans="1:29" x14ac:dyDescent="0.5">
      <c r="A61" s="2" t="s">
        <v>72</v>
      </c>
      <c r="B61" s="3">
        <v>59</v>
      </c>
      <c r="C61" s="4"/>
      <c r="D61" s="4"/>
      <c r="E61" s="4"/>
      <c r="F61" s="4"/>
      <c r="G61" s="4"/>
      <c r="H61" s="4"/>
      <c r="I61" s="4"/>
      <c r="J61" s="4"/>
      <c r="K61" s="4"/>
      <c r="L61" s="4"/>
      <c r="M61" s="4"/>
      <c r="N61" s="4"/>
      <c r="O61" s="4"/>
      <c r="P61" s="4"/>
      <c r="Q61" s="4"/>
      <c r="R61" s="4"/>
      <c r="S61" s="4"/>
      <c r="T61" s="4"/>
      <c r="U61" s="4"/>
      <c r="V61" s="4"/>
      <c r="W61" s="4"/>
      <c r="X61" s="4"/>
      <c r="Y61" s="4"/>
      <c r="Z61" s="4"/>
      <c r="AA61" s="4"/>
      <c r="AB61" s="4"/>
      <c r="AC61" s="4"/>
    </row>
  </sheetData>
  <mergeCells count="11">
    <mergeCell ref="L1:N1"/>
    <mergeCell ref="AA1:AC1"/>
    <mergeCell ref="A1:A2"/>
    <mergeCell ref="B1:B2"/>
    <mergeCell ref="C1:E1"/>
    <mergeCell ref="F1:H1"/>
    <mergeCell ref="I1:K1"/>
    <mergeCell ref="O1:Q1"/>
    <mergeCell ref="R1:T1"/>
    <mergeCell ref="U1:W1"/>
    <mergeCell ref="X1:Z1"/>
  </mergeCells>
  <phoneticPr fontId="1" type="noConversion"/>
  <printOptions horizontalCentered="1" verticalCentered="1"/>
  <pageMargins left="0.19685039370078741" right="0.19685039370078741" top="0.19685039370078741" bottom="0.19685039370078741" header="0" footer="0"/>
  <pageSetup paperSize="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70843-2A9C-410D-860A-3CC8D992FFC7}">
  <sheetPr codeName="Sheet3"/>
  <dimension ref="B2:T29"/>
  <sheetViews>
    <sheetView tabSelected="1" workbookViewId="0">
      <selection activeCell="D25" sqref="D25"/>
    </sheetView>
  </sheetViews>
  <sheetFormatPr defaultRowHeight="14.1" x14ac:dyDescent="0.5"/>
  <cols>
    <col min="2" max="2" width="8.796875" style="10"/>
    <col min="3" max="3" width="8.796875" style="10" customWidth="1"/>
  </cols>
  <sheetData>
    <row r="2" spans="2:20" ht="14.1" customHeight="1" x14ac:dyDescent="0.5">
      <c r="B2" s="22" t="s">
        <v>79</v>
      </c>
      <c r="C2" s="22"/>
      <c r="E2" s="23" t="s">
        <v>84</v>
      </c>
      <c r="F2" s="23"/>
      <c r="G2" s="23"/>
      <c r="H2" s="23"/>
      <c r="I2" s="23"/>
      <c r="J2" s="23"/>
      <c r="K2" s="23"/>
      <c r="L2" s="23"/>
      <c r="M2" s="23"/>
      <c r="N2" s="23"/>
      <c r="O2" s="23"/>
      <c r="P2" s="23"/>
      <c r="Q2" s="23"/>
      <c r="R2" s="23"/>
      <c r="S2" s="23"/>
      <c r="T2" s="23"/>
    </row>
    <row r="3" spans="2:20" ht="14.1" customHeight="1" x14ac:dyDescent="0.5">
      <c r="B3" s="10" t="s">
        <v>74</v>
      </c>
      <c r="C3" s="10">
        <v>2</v>
      </c>
      <c r="E3" s="23"/>
      <c r="F3" s="23"/>
      <c r="G3" s="23"/>
      <c r="H3" s="23"/>
      <c r="I3" s="23"/>
      <c r="J3" s="23"/>
      <c r="K3" s="23"/>
      <c r="L3" s="23"/>
      <c r="M3" s="23"/>
      <c r="N3" s="23"/>
      <c r="O3" s="23"/>
      <c r="P3" s="23"/>
      <c r="Q3" s="23"/>
      <c r="R3" s="23"/>
      <c r="S3" s="23"/>
      <c r="T3" s="23"/>
    </row>
    <row r="4" spans="2:20" ht="14.1" customHeight="1" x14ac:dyDescent="0.5">
      <c r="E4" s="23"/>
      <c r="F4" s="23"/>
      <c r="G4" s="23"/>
      <c r="H4" s="23"/>
      <c r="I4" s="23"/>
      <c r="J4" s="23"/>
      <c r="K4" s="23"/>
      <c r="L4" s="23"/>
      <c r="M4" s="23"/>
      <c r="N4" s="23"/>
      <c r="O4" s="23"/>
      <c r="P4" s="23"/>
      <c r="Q4" s="23"/>
      <c r="R4" s="23"/>
      <c r="S4" s="23"/>
      <c r="T4" s="23"/>
    </row>
    <row r="5" spans="2:20" ht="14.1" customHeight="1" x14ac:dyDescent="0.5">
      <c r="E5" s="23"/>
      <c r="F5" s="23"/>
      <c r="G5" s="23"/>
      <c r="H5" s="23"/>
      <c r="I5" s="23"/>
      <c r="J5" s="23"/>
      <c r="K5" s="23"/>
      <c r="L5" s="23"/>
      <c r="M5" s="23"/>
      <c r="N5" s="23"/>
      <c r="O5" s="23"/>
      <c r="P5" s="23"/>
      <c r="Q5" s="23"/>
      <c r="R5" s="23"/>
      <c r="S5" s="23"/>
      <c r="T5" s="23"/>
    </row>
    <row r="6" spans="2:20" ht="14.1" customHeight="1" x14ac:dyDescent="0.5">
      <c r="B6" s="22" t="s">
        <v>81</v>
      </c>
      <c r="C6" s="22"/>
      <c r="E6" s="23"/>
      <c r="F6" s="23"/>
      <c r="G6" s="23"/>
      <c r="H6" s="23"/>
      <c r="I6" s="23"/>
      <c r="J6" s="23"/>
      <c r="K6" s="23"/>
      <c r="L6" s="23"/>
      <c r="M6" s="23"/>
      <c r="N6" s="23"/>
      <c r="O6" s="23"/>
      <c r="P6" s="23"/>
      <c r="Q6" s="23"/>
      <c r="R6" s="23"/>
      <c r="S6" s="23"/>
      <c r="T6" s="23"/>
    </row>
    <row r="7" spans="2:20" ht="14.1" customHeight="1" x14ac:dyDescent="0.5">
      <c r="B7" s="10" t="s">
        <v>77</v>
      </c>
      <c r="C7" s="10">
        <v>61</v>
      </c>
      <c r="E7" s="23"/>
      <c r="F7" s="23"/>
      <c r="G7" s="23"/>
      <c r="H7" s="23"/>
      <c r="I7" s="23"/>
      <c r="J7" s="23"/>
      <c r="K7" s="23"/>
      <c r="L7" s="23"/>
      <c r="M7" s="23"/>
      <c r="N7" s="23"/>
      <c r="O7" s="23"/>
      <c r="P7" s="23"/>
      <c r="Q7" s="23"/>
      <c r="R7" s="23"/>
      <c r="S7" s="23"/>
      <c r="T7" s="23"/>
    </row>
    <row r="8" spans="2:20" ht="14.1" customHeight="1" x14ac:dyDescent="0.5">
      <c r="B8" s="10" t="s">
        <v>78</v>
      </c>
      <c r="C8" s="10">
        <v>29</v>
      </c>
      <c r="E8" s="23"/>
      <c r="F8" s="23"/>
      <c r="G8" s="23"/>
      <c r="H8" s="23"/>
      <c r="I8" s="23"/>
      <c r="J8" s="23"/>
      <c r="K8" s="23"/>
      <c r="L8" s="23"/>
      <c r="M8" s="23"/>
      <c r="N8" s="23"/>
      <c r="O8" s="23"/>
      <c r="P8" s="23"/>
      <c r="Q8" s="23"/>
      <c r="R8" s="23"/>
      <c r="S8" s="23"/>
      <c r="T8" s="23"/>
    </row>
    <row r="9" spans="2:20" ht="14.1" customHeight="1" x14ac:dyDescent="0.5">
      <c r="B9" s="10" t="s">
        <v>80</v>
      </c>
      <c r="C9" s="10">
        <v>59</v>
      </c>
      <c r="E9" s="23"/>
      <c r="F9" s="23"/>
      <c r="G9" s="23"/>
      <c r="H9" s="23"/>
      <c r="I9" s="23"/>
      <c r="J9" s="23"/>
      <c r="K9" s="23"/>
      <c r="L9" s="23"/>
      <c r="M9" s="23"/>
      <c r="N9" s="23"/>
      <c r="O9" s="23"/>
      <c r="P9" s="23"/>
      <c r="Q9" s="23"/>
      <c r="R9" s="23"/>
      <c r="S9" s="23"/>
      <c r="T9" s="23"/>
    </row>
    <row r="10" spans="2:20" ht="14.1" customHeight="1" x14ac:dyDescent="0.5">
      <c r="E10" s="23"/>
      <c r="F10" s="23"/>
      <c r="G10" s="23"/>
      <c r="H10" s="23"/>
      <c r="I10" s="23"/>
      <c r="J10" s="23"/>
      <c r="K10" s="23"/>
      <c r="L10" s="23"/>
      <c r="M10" s="23"/>
      <c r="N10" s="23"/>
      <c r="O10" s="23"/>
      <c r="P10" s="23"/>
      <c r="Q10" s="23"/>
      <c r="R10" s="23"/>
      <c r="S10" s="23"/>
      <c r="T10" s="23"/>
    </row>
    <row r="11" spans="2:20" ht="14.1" customHeight="1" x14ac:dyDescent="0.5">
      <c r="B11" s="22" t="s">
        <v>82</v>
      </c>
      <c r="C11" s="22"/>
      <c r="E11" s="23"/>
      <c r="F11" s="23"/>
      <c r="G11" s="23"/>
      <c r="H11" s="23"/>
      <c r="I11" s="23"/>
      <c r="J11" s="23"/>
      <c r="K11" s="23"/>
      <c r="L11" s="23"/>
      <c r="M11" s="23"/>
      <c r="N11" s="23"/>
      <c r="O11" s="23"/>
      <c r="P11" s="23"/>
      <c r="Q11" s="23"/>
      <c r="R11" s="23"/>
      <c r="S11" s="23"/>
      <c r="T11" s="23"/>
    </row>
    <row r="12" spans="2:20" ht="14.1" customHeight="1" x14ac:dyDescent="0.5">
      <c r="B12" s="10" t="s">
        <v>74</v>
      </c>
      <c r="C12" s="10">
        <f>IF(成绩条!C2=0,0,MATCH("A",成绩条!A:A)-1)</f>
        <v>2</v>
      </c>
      <c r="E12" s="23"/>
      <c r="F12" s="23"/>
      <c r="G12" s="23"/>
      <c r="H12" s="23"/>
      <c r="I12" s="23"/>
      <c r="J12" s="23"/>
      <c r="K12" s="23"/>
      <c r="L12" s="23"/>
      <c r="M12" s="23"/>
      <c r="N12" s="23"/>
      <c r="O12" s="23"/>
      <c r="P12" s="23"/>
      <c r="Q12" s="23"/>
      <c r="R12" s="23"/>
      <c r="S12" s="23"/>
      <c r="T12" s="23"/>
    </row>
    <row r="13" spans="2:20" ht="14.1" customHeight="1" x14ac:dyDescent="0.5">
      <c r="B13" s="10" t="s">
        <v>83</v>
      </c>
      <c r="C13" s="10">
        <f>IF(成绩条!C2=0,0,MATCH("E",成绩条!1:1)-3)</f>
        <v>29</v>
      </c>
      <c r="E13" s="23"/>
      <c r="F13" s="23"/>
      <c r="G13" s="23"/>
      <c r="H13" s="23"/>
      <c r="I13" s="23"/>
      <c r="J13" s="23"/>
      <c r="K13" s="23"/>
      <c r="L13" s="23"/>
      <c r="M13" s="23"/>
      <c r="N13" s="23"/>
      <c r="O13" s="23"/>
      <c r="P13" s="23"/>
      <c r="Q13" s="23"/>
      <c r="R13" s="23"/>
      <c r="S13" s="23"/>
      <c r="T13" s="23"/>
    </row>
    <row r="14" spans="2:20" ht="14.1" customHeight="1" x14ac:dyDescent="0.5">
      <c r="B14" s="10" t="s">
        <v>80</v>
      </c>
      <c r="C14" s="10">
        <f>COUNTIF(成绩条!A:B,"A")</f>
        <v>59</v>
      </c>
      <c r="E14" s="23"/>
      <c r="F14" s="23"/>
      <c r="G14" s="23"/>
      <c r="H14" s="23"/>
      <c r="I14" s="23"/>
      <c r="J14" s="23"/>
      <c r="K14" s="23"/>
      <c r="L14" s="23"/>
      <c r="M14" s="23"/>
      <c r="N14" s="23"/>
      <c r="O14" s="23"/>
      <c r="P14" s="23"/>
      <c r="Q14" s="23"/>
      <c r="R14" s="23"/>
      <c r="S14" s="23"/>
      <c r="T14" s="23"/>
    </row>
    <row r="15" spans="2:20" ht="14.1" customHeight="1" x14ac:dyDescent="0.5">
      <c r="B15" s="10" t="s">
        <v>76</v>
      </c>
      <c r="C15" s="11">
        <f ca="1">INDIRECT("成绩条!A"&amp;VALUE(控制面板!C12)+2)</f>
        <v>2</v>
      </c>
      <c r="E15" s="23"/>
      <c r="F15" s="23"/>
      <c r="G15" s="23"/>
      <c r="H15" s="23"/>
      <c r="I15" s="23"/>
      <c r="J15" s="23"/>
      <c r="K15" s="23"/>
      <c r="L15" s="23"/>
      <c r="M15" s="23"/>
      <c r="N15" s="23"/>
      <c r="O15" s="23"/>
      <c r="P15" s="23"/>
      <c r="Q15" s="23"/>
      <c r="R15" s="23"/>
      <c r="S15" s="23"/>
      <c r="T15" s="23"/>
    </row>
    <row r="16" spans="2:20" ht="14.1" customHeight="1" x14ac:dyDescent="0.5">
      <c r="E16" s="23"/>
      <c r="F16" s="23"/>
      <c r="G16" s="23"/>
      <c r="H16" s="23"/>
      <c r="I16" s="23"/>
      <c r="J16" s="23"/>
      <c r="K16" s="23"/>
      <c r="L16" s="23"/>
      <c r="M16" s="23"/>
      <c r="N16" s="23"/>
      <c r="O16" s="23"/>
      <c r="P16" s="23"/>
      <c r="Q16" s="23"/>
      <c r="R16" s="23"/>
      <c r="S16" s="23"/>
      <c r="T16" s="23"/>
    </row>
    <row r="17" spans="5:20" ht="14.1" customHeight="1" x14ac:dyDescent="0.5">
      <c r="E17" s="23"/>
      <c r="F17" s="23"/>
      <c r="G17" s="23"/>
      <c r="H17" s="23"/>
      <c r="I17" s="23"/>
      <c r="J17" s="23"/>
      <c r="K17" s="23"/>
      <c r="L17" s="23"/>
      <c r="M17" s="23"/>
      <c r="N17" s="23"/>
      <c r="O17" s="23"/>
      <c r="P17" s="23"/>
      <c r="Q17" s="23"/>
      <c r="R17" s="23"/>
      <c r="S17" s="23"/>
      <c r="T17" s="23"/>
    </row>
    <row r="18" spans="5:20" ht="14.1" customHeight="1" x14ac:dyDescent="0.5">
      <c r="E18" s="23"/>
      <c r="F18" s="23"/>
      <c r="G18" s="23"/>
      <c r="H18" s="23"/>
      <c r="I18" s="23"/>
      <c r="J18" s="23"/>
      <c r="K18" s="23"/>
      <c r="L18" s="23"/>
      <c r="M18" s="23"/>
      <c r="N18" s="23"/>
      <c r="O18" s="23"/>
      <c r="P18" s="23"/>
      <c r="Q18" s="23"/>
      <c r="R18" s="23"/>
      <c r="S18" s="23"/>
      <c r="T18" s="23"/>
    </row>
    <row r="19" spans="5:20" ht="14.1" customHeight="1" x14ac:dyDescent="0.5">
      <c r="E19" s="23"/>
      <c r="F19" s="23"/>
      <c r="G19" s="23"/>
      <c r="H19" s="23"/>
      <c r="I19" s="23"/>
      <c r="J19" s="23"/>
      <c r="K19" s="23"/>
      <c r="L19" s="23"/>
      <c r="M19" s="23"/>
      <c r="N19" s="23"/>
      <c r="O19" s="23"/>
      <c r="P19" s="23"/>
      <c r="Q19" s="23"/>
      <c r="R19" s="23"/>
      <c r="S19" s="23"/>
      <c r="T19" s="23"/>
    </row>
    <row r="20" spans="5:20" ht="14.1" customHeight="1" x14ac:dyDescent="0.5">
      <c r="E20" s="23"/>
      <c r="F20" s="23"/>
      <c r="G20" s="23"/>
      <c r="H20" s="23"/>
      <c r="I20" s="23"/>
      <c r="J20" s="23"/>
      <c r="K20" s="23"/>
      <c r="L20" s="23"/>
      <c r="M20" s="23"/>
      <c r="N20" s="23"/>
      <c r="O20" s="23"/>
      <c r="P20" s="23"/>
      <c r="Q20" s="23"/>
      <c r="R20" s="23"/>
      <c r="S20" s="23"/>
      <c r="T20" s="23"/>
    </row>
    <row r="21" spans="5:20" ht="14.1" customHeight="1" x14ac:dyDescent="0.5">
      <c r="E21" s="23"/>
      <c r="F21" s="23"/>
      <c r="G21" s="23"/>
      <c r="H21" s="23"/>
      <c r="I21" s="23"/>
      <c r="J21" s="23"/>
      <c r="K21" s="23"/>
      <c r="L21" s="23"/>
      <c r="M21" s="23"/>
      <c r="N21" s="23"/>
      <c r="O21" s="23"/>
      <c r="P21" s="23"/>
      <c r="Q21" s="23"/>
      <c r="R21" s="23"/>
      <c r="S21" s="23"/>
      <c r="T21" s="23"/>
    </row>
    <row r="22" spans="5:20" ht="14.1" customHeight="1" x14ac:dyDescent="0.5">
      <c r="E22" s="23"/>
      <c r="F22" s="23"/>
      <c r="G22" s="23"/>
      <c r="H22" s="23"/>
      <c r="I22" s="23"/>
      <c r="J22" s="23"/>
      <c r="K22" s="23"/>
      <c r="L22" s="23"/>
      <c r="M22" s="23"/>
      <c r="N22" s="23"/>
      <c r="O22" s="23"/>
      <c r="P22" s="23"/>
      <c r="Q22" s="23"/>
      <c r="R22" s="23"/>
      <c r="S22" s="23"/>
      <c r="T22" s="23"/>
    </row>
    <row r="23" spans="5:20" ht="14.1" customHeight="1" x14ac:dyDescent="0.5">
      <c r="E23" s="23"/>
      <c r="F23" s="23"/>
      <c r="G23" s="23"/>
      <c r="H23" s="23"/>
      <c r="I23" s="23"/>
      <c r="J23" s="23"/>
      <c r="K23" s="23"/>
      <c r="L23" s="23"/>
      <c r="M23" s="23"/>
      <c r="N23" s="23"/>
      <c r="O23" s="23"/>
      <c r="P23" s="23"/>
      <c r="Q23" s="23"/>
      <c r="R23" s="23"/>
      <c r="S23" s="23"/>
      <c r="T23" s="23"/>
    </row>
    <row r="24" spans="5:20" ht="14.1" customHeight="1" x14ac:dyDescent="0.5">
      <c r="E24" s="23"/>
      <c r="F24" s="23"/>
      <c r="G24" s="23"/>
      <c r="H24" s="23"/>
      <c r="I24" s="23"/>
      <c r="J24" s="23"/>
      <c r="K24" s="23"/>
      <c r="L24" s="23"/>
      <c r="M24" s="23"/>
      <c r="N24" s="23"/>
      <c r="O24" s="23"/>
      <c r="P24" s="23"/>
      <c r="Q24" s="23"/>
      <c r="R24" s="23"/>
      <c r="S24" s="23"/>
      <c r="T24" s="23"/>
    </row>
    <row r="25" spans="5:20" ht="14.1" customHeight="1" x14ac:dyDescent="0.5">
      <c r="E25" s="23"/>
      <c r="F25" s="23"/>
      <c r="G25" s="23"/>
      <c r="H25" s="23"/>
      <c r="I25" s="23"/>
      <c r="J25" s="23"/>
      <c r="K25" s="23"/>
      <c r="L25" s="23"/>
      <c r="M25" s="23"/>
      <c r="N25" s="23"/>
      <c r="O25" s="23"/>
      <c r="P25" s="23"/>
      <c r="Q25" s="23"/>
      <c r="R25" s="23"/>
      <c r="S25" s="23"/>
      <c r="T25" s="23"/>
    </row>
    <row r="26" spans="5:20" ht="14.1" customHeight="1" x14ac:dyDescent="0.5">
      <c r="E26" s="23"/>
      <c r="F26" s="23"/>
      <c r="G26" s="23"/>
      <c r="H26" s="23"/>
      <c r="I26" s="23"/>
      <c r="J26" s="23"/>
      <c r="K26" s="23"/>
      <c r="L26" s="23"/>
      <c r="M26" s="23"/>
      <c r="N26" s="23"/>
      <c r="O26" s="23"/>
      <c r="P26" s="23"/>
      <c r="Q26" s="23"/>
      <c r="R26" s="23"/>
      <c r="S26" s="23"/>
      <c r="T26" s="23"/>
    </row>
    <row r="27" spans="5:20" ht="14.1" customHeight="1" x14ac:dyDescent="0.5">
      <c r="E27" s="23"/>
      <c r="F27" s="23"/>
      <c r="G27" s="23"/>
      <c r="H27" s="23"/>
      <c r="I27" s="23"/>
      <c r="J27" s="23"/>
      <c r="K27" s="23"/>
      <c r="L27" s="23"/>
      <c r="M27" s="23"/>
      <c r="N27" s="23"/>
      <c r="O27" s="23"/>
      <c r="P27" s="23"/>
      <c r="Q27" s="23"/>
      <c r="R27" s="23"/>
      <c r="S27" s="23"/>
      <c r="T27" s="23"/>
    </row>
    <row r="28" spans="5:20" ht="14.1" customHeight="1" x14ac:dyDescent="0.5">
      <c r="E28" s="23"/>
      <c r="F28" s="23"/>
      <c r="G28" s="23"/>
      <c r="H28" s="23"/>
      <c r="I28" s="23"/>
      <c r="J28" s="23"/>
      <c r="K28" s="23"/>
      <c r="L28" s="23"/>
      <c r="M28" s="23"/>
      <c r="N28" s="23"/>
      <c r="O28" s="23"/>
      <c r="P28" s="23"/>
      <c r="Q28" s="23"/>
      <c r="R28" s="23"/>
      <c r="S28" s="23"/>
      <c r="T28" s="23"/>
    </row>
    <row r="29" spans="5:20" x14ac:dyDescent="0.5">
      <c r="E29" s="23"/>
      <c r="F29" s="23"/>
      <c r="G29" s="23"/>
      <c r="H29" s="23"/>
      <c r="I29" s="23"/>
      <c r="J29" s="23"/>
      <c r="K29" s="23"/>
      <c r="L29" s="23"/>
      <c r="M29" s="23"/>
      <c r="N29" s="23"/>
      <c r="O29" s="23"/>
      <c r="P29" s="23"/>
      <c r="Q29" s="23"/>
      <c r="R29" s="23"/>
      <c r="S29" s="23"/>
      <c r="T29" s="23"/>
    </row>
  </sheetData>
  <mergeCells count="4">
    <mergeCell ref="B2:C2"/>
    <mergeCell ref="B6:C6"/>
    <mergeCell ref="E2:T29"/>
    <mergeCell ref="B11:C11"/>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94D-1284-4F2C-91A5-1A90A918C8B6}">
  <sheetPr codeName="Sheet5"/>
  <dimension ref="A1"/>
  <sheetViews>
    <sheetView workbookViewId="0">
      <selection activeCell="A4" sqref="A4 B8 A12 B16 A20 B24 A28 B32 A36 B40 A44 B48 A52 B56 A60 B64 A68 B72 A76 B80 A84 B88 A92 B96 A100 B104 A108 B112 A116 B120 A124 B128 A132 B136 A140 B144 A148 B152 A156 B160 A164 B168 A172 B176 A180 B184 A188 B192 A196 B200 A204 B208 A212 B216 A220 B224 A228 B232 A236"/>
    </sheetView>
  </sheetViews>
  <sheetFormatPr defaultRowHeight="14.1" x14ac:dyDescent="0.5"/>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36D8D-E159-4C2E-A356-05FB019848FA}">
  <sheetPr codeName="Sheet6"/>
  <dimension ref="A1:AF295"/>
  <sheetViews>
    <sheetView workbookViewId="0">
      <selection activeCell="E21" sqref="E21"/>
    </sheetView>
  </sheetViews>
  <sheetFormatPr defaultRowHeight="14.1" x14ac:dyDescent="0.5"/>
  <cols>
    <col min="3" max="3" width="8.546875" customWidth="1"/>
    <col min="4" max="31" width="4.546875" customWidth="1"/>
  </cols>
  <sheetData>
    <row r="1" spans="1:32" x14ac:dyDescent="0.5">
      <c r="AF1" t="s">
        <v>86</v>
      </c>
    </row>
    <row r="2" spans="1:32" ht="14.1" customHeight="1" x14ac:dyDescent="0.5">
      <c r="C2" s="18" t="s">
        <v>73</v>
      </c>
      <c r="D2" s="20" t="s">
        <v>0</v>
      </c>
      <c r="E2" s="12" t="s">
        <v>1</v>
      </c>
      <c r="F2" s="13"/>
      <c r="G2" s="14"/>
      <c r="H2" s="12" t="s">
        <v>2</v>
      </c>
      <c r="I2" s="13"/>
      <c r="J2" s="14"/>
      <c r="K2" s="12" t="s">
        <v>3</v>
      </c>
      <c r="L2" s="13"/>
      <c r="M2" s="14"/>
      <c r="N2" s="12" t="s">
        <v>4</v>
      </c>
      <c r="O2" s="13"/>
      <c r="P2" s="14"/>
      <c r="Q2" s="12" t="s">
        <v>5</v>
      </c>
      <c r="R2" s="13"/>
      <c r="S2" s="14"/>
      <c r="T2" s="12" t="s">
        <v>6</v>
      </c>
      <c r="U2" s="13"/>
      <c r="V2" s="14"/>
      <c r="W2" s="12" t="s">
        <v>7</v>
      </c>
      <c r="X2" s="13"/>
      <c r="Y2" s="14"/>
      <c r="Z2" s="12" t="s">
        <v>8</v>
      </c>
      <c r="AA2" s="13"/>
      <c r="AB2" s="14"/>
      <c r="AC2" s="15" t="s">
        <v>75</v>
      </c>
      <c r="AD2" s="16"/>
      <c r="AE2" s="17"/>
    </row>
    <row r="3" spans="1:32" x14ac:dyDescent="0.5">
      <c r="A3" t="s">
        <v>85</v>
      </c>
      <c r="C3" s="19"/>
      <c r="D3" s="21"/>
      <c r="E3" s="8" t="s">
        <v>9</v>
      </c>
      <c r="F3" s="8" t="s">
        <v>10</v>
      </c>
      <c r="G3" s="8" t="s">
        <v>11</v>
      </c>
      <c r="H3" s="8" t="s">
        <v>9</v>
      </c>
      <c r="I3" s="8" t="s">
        <v>10</v>
      </c>
      <c r="J3" s="8" t="s">
        <v>11</v>
      </c>
      <c r="K3" s="8" t="s">
        <v>9</v>
      </c>
      <c r="L3" s="8" t="s">
        <v>10</v>
      </c>
      <c r="M3" s="8" t="s">
        <v>11</v>
      </c>
      <c r="N3" s="8" t="s">
        <v>9</v>
      </c>
      <c r="O3" s="8" t="s">
        <v>10</v>
      </c>
      <c r="P3" s="8" t="s">
        <v>11</v>
      </c>
      <c r="Q3" s="8" t="s">
        <v>9</v>
      </c>
      <c r="R3" s="8" t="s">
        <v>10</v>
      </c>
      <c r="S3" s="8" t="s">
        <v>11</v>
      </c>
      <c r="T3" s="8" t="s">
        <v>9</v>
      </c>
      <c r="U3" s="8" t="s">
        <v>10</v>
      </c>
      <c r="V3" s="8" t="s">
        <v>11</v>
      </c>
      <c r="W3" s="8" t="s">
        <v>9</v>
      </c>
      <c r="X3" s="8" t="s">
        <v>10</v>
      </c>
      <c r="Y3" s="8" t="s">
        <v>11</v>
      </c>
      <c r="Z3" s="8" t="s">
        <v>9</v>
      </c>
      <c r="AA3" s="8" t="s">
        <v>10</v>
      </c>
      <c r="AB3" s="8" t="s">
        <v>11</v>
      </c>
      <c r="AC3" s="8" t="s">
        <v>12</v>
      </c>
      <c r="AD3" s="8" t="s">
        <v>13</v>
      </c>
      <c r="AE3" s="9" t="s">
        <v>11</v>
      </c>
    </row>
    <row r="4" spans="1:32" x14ac:dyDescent="0.5">
      <c r="A4">
        <v>2</v>
      </c>
      <c r="C4" s="2" t="s">
        <v>14</v>
      </c>
      <c r="D4" s="3">
        <v>1</v>
      </c>
      <c r="E4" s="4"/>
      <c r="F4" s="4"/>
      <c r="G4" s="4"/>
      <c r="H4" s="4"/>
      <c r="I4" s="4"/>
      <c r="J4" s="4"/>
      <c r="K4" s="4"/>
      <c r="L4" s="4"/>
      <c r="M4" s="4"/>
      <c r="N4" s="4"/>
      <c r="O4" s="4"/>
      <c r="P4" s="4"/>
      <c r="Q4" s="4"/>
      <c r="R4" s="4"/>
      <c r="S4" s="4"/>
      <c r="T4" s="4"/>
      <c r="U4" s="4"/>
      <c r="V4" s="4"/>
      <c r="W4" s="4"/>
      <c r="X4" s="4"/>
      <c r="Y4" s="4"/>
      <c r="Z4" s="4"/>
      <c r="AA4" s="4"/>
      <c r="AB4" s="4"/>
      <c r="AC4" s="4"/>
      <c r="AD4" s="4"/>
      <c r="AE4" s="4"/>
    </row>
    <row r="5" spans="1:32" x14ac:dyDescent="0.5">
      <c r="C5" s="2" t="s">
        <v>14</v>
      </c>
      <c r="D5" s="3">
        <v>1</v>
      </c>
    </row>
    <row r="7" spans="1:32" ht="14.1" customHeight="1" x14ac:dyDescent="0.5">
      <c r="B7" t="s">
        <v>85</v>
      </c>
      <c r="C7" s="18" t="s">
        <v>73</v>
      </c>
      <c r="D7" s="20" t="s">
        <v>0</v>
      </c>
      <c r="E7" s="12" t="s">
        <v>1</v>
      </c>
      <c r="F7" s="13"/>
      <c r="G7" s="14"/>
      <c r="H7" s="12" t="s">
        <v>2</v>
      </c>
      <c r="I7" s="13"/>
      <c r="J7" s="14"/>
      <c r="K7" s="12" t="s">
        <v>3</v>
      </c>
      <c r="L7" s="13"/>
      <c r="M7" s="14"/>
      <c r="N7" s="12" t="s">
        <v>4</v>
      </c>
      <c r="O7" s="13"/>
      <c r="P7" s="14"/>
      <c r="Q7" s="12" t="s">
        <v>5</v>
      </c>
      <c r="R7" s="13"/>
      <c r="S7" s="14"/>
      <c r="T7" s="12" t="s">
        <v>6</v>
      </c>
      <c r="U7" s="13"/>
      <c r="V7" s="14"/>
      <c r="W7" s="12" t="s">
        <v>7</v>
      </c>
      <c r="X7" s="13"/>
      <c r="Y7" s="14"/>
      <c r="Z7" s="12" t="s">
        <v>8</v>
      </c>
      <c r="AA7" s="13"/>
      <c r="AB7" s="14"/>
      <c r="AC7" s="15" t="s">
        <v>75</v>
      </c>
      <c r="AD7" s="16"/>
      <c r="AE7" s="17"/>
    </row>
    <row r="8" spans="1:32" x14ac:dyDescent="0.5">
      <c r="C8" s="19"/>
      <c r="D8" s="21"/>
      <c r="E8" s="8" t="s">
        <v>9</v>
      </c>
      <c r="F8" s="8" t="s">
        <v>10</v>
      </c>
      <c r="G8" s="8" t="s">
        <v>11</v>
      </c>
      <c r="H8" s="8" t="s">
        <v>9</v>
      </c>
      <c r="I8" s="8" t="s">
        <v>10</v>
      </c>
      <c r="J8" s="8" t="s">
        <v>11</v>
      </c>
      <c r="K8" s="8" t="s">
        <v>9</v>
      </c>
      <c r="L8" s="8" t="s">
        <v>10</v>
      </c>
      <c r="M8" s="8" t="s">
        <v>11</v>
      </c>
      <c r="N8" s="8" t="s">
        <v>9</v>
      </c>
      <c r="O8" s="8" t="s">
        <v>10</v>
      </c>
      <c r="P8" s="8" t="s">
        <v>11</v>
      </c>
      <c r="Q8" s="8" t="s">
        <v>9</v>
      </c>
      <c r="R8" s="8" t="s">
        <v>10</v>
      </c>
      <c r="S8" s="8" t="s">
        <v>11</v>
      </c>
      <c r="T8" s="8" t="s">
        <v>9</v>
      </c>
      <c r="U8" s="8" t="s">
        <v>10</v>
      </c>
      <c r="V8" s="8" t="s">
        <v>11</v>
      </c>
      <c r="W8" s="8" t="s">
        <v>9</v>
      </c>
      <c r="X8" s="8" t="s">
        <v>10</v>
      </c>
      <c r="Y8" s="8" t="s">
        <v>11</v>
      </c>
      <c r="Z8" s="8" t="s">
        <v>9</v>
      </c>
      <c r="AA8" s="8" t="s">
        <v>10</v>
      </c>
      <c r="AB8" s="8" t="s">
        <v>11</v>
      </c>
      <c r="AC8" s="8" t="s">
        <v>12</v>
      </c>
      <c r="AD8" s="8" t="s">
        <v>13</v>
      </c>
      <c r="AE8" s="9" t="s">
        <v>11</v>
      </c>
    </row>
    <row r="9" spans="1:32" x14ac:dyDescent="0.5">
      <c r="C9" s="2" t="s">
        <v>15</v>
      </c>
      <c r="D9" s="3">
        <v>2</v>
      </c>
      <c r="E9" s="4">
        <v>93</v>
      </c>
      <c r="F9" s="4">
        <v>39</v>
      </c>
      <c r="G9" s="4">
        <v>824</v>
      </c>
      <c r="H9" s="4">
        <v>70</v>
      </c>
      <c r="I9" s="4">
        <v>47</v>
      </c>
      <c r="J9" s="4">
        <v>1009</v>
      </c>
      <c r="K9" s="4">
        <v>126</v>
      </c>
      <c r="L9" s="4">
        <v>26</v>
      </c>
      <c r="M9" s="4">
        <v>521</v>
      </c>
      <c r="N9" s="4">
        <v>77</v>
      </c>
      <c r="O9" s="4">
        <v>16</v>
      </c>
      <c r="P9" s="4">
        <v>305</v>
      </c>
      <c r="Q9" s="4">
        <v>82</v>
      </c>
      <c r="R9" s="4">
        <v>20</v>
      </c>
      <c r="S9" s="4">
        <v>347</v>
      </c>
      <c r="T9" s="4">
        <v>86</v>
      </c>
      <c r="U9" s="4">
        <v>18</v>
      </c>
      <c r="V9" s="4">
        <v>301</v>
      </c>
      <c r="W9" s="4">
        <v>289</v>
      </c>
      <c r="X9" s="4">
        <v>43</v>
      </c>
      <c r="Y9" s="4">
        <v>867</v>
      </c>
      <c r="Z9" s="4">
        <v>245</v>
      </c>
      <c r="AA9" s="4">
        <v>19</v>
      </c>
      <c r="AB9" s="4">
        <v>300</v>
      </c>
      <c r="AC9" s="4">
        <v>534</v>
      </c>
      <c r="AD9" s="4">
        <v>31</v>
      </c>
      <c r="AE9" s="4">
        <v>533</v>
      </c>
    </row>
    <row r="10" spans="1:32" x14ac:dyDescent="0.5">
      <c r="C10" s="2" t="s">
        <v>15</v>
      </c>
      <c r="D10" s="3">
        <v>2</v>
      </c>
      <c r="E10" s="4">
        <v>93</v>
      </c>
      <c r="F10" s="4">
        <v>39</v>
      </c>
      <c r="G10" s="4">
        <v>824</v>
      </c>
      <c r="H10" s="4">
        <v>70</v>
      </c>
      <c r="I10" s="4">
        <v>47</v>
      </c>
      <c r="J10" s="4">
        <v>1009</v>
      </c>
      <c r="K10" s="4">
        <v>126</v>
      </c>
      <c r="L10" s="4">
        <v>26</v>
      </c>
      <c r="M10" s="4">
        <v>521</v>
      </c>
      <c r="N10" s="4">
        <v>77</v>
      </c>
      <c r="O10" s="4">
        <v>16</v>
      </c>
      <c r="P10" s="4">
        <v>305</v>
      </c>
      <c r="Q10" s="4">
        <v>82</v>
      </c>
      <c r="R10" s="4">
        <v>20</v>
      </c>
      <c r="S10" s="4">
        <v>347</v>
      </c>
      <c r="T10" s="4">
        <v>86</v>
      </c>
      <c r="U10" s="4">
        <v>18</v>
      </c>
      <c r="V10" s="4">
        <v>301</v>
      </c>
      <c r="W10" s="4">
        <v>289</v>
      </c>
      <c r="X10" s="4">
        <v>43</v>
      </c>
      <c r="Y10" s="4">
        <v>867</v>
      </c>
      <c r="Z10" s="4">
        <v>245</v>
      </c>
      <c r="AA10" s="4">
        <v>19</v>
      </c>
      <c r="AB10" s="4">
        <v>300</v>
      </c>
      <c r="AC10" s="4">
        <v>534</v>
      </c>
      <c r="AD10" s="4">
        <v>31</v>
      </c>
      <c r="AE10" s="4">
        <v>533</v>
      </c>
    </row>
    <row r="12" spans="1:32" ht="14.1" customHeight="1" x14ac:dyDescent="0.5">
      <c r="B12" t="s">
        <v>85</v>
      </c>
      <c r="C12" s="18" t="s">
        <v>73</v>
      </c>
      <c r="D12" s="20" t="s">
        <v>0</v>
      </c>
      <c r="E12" s="12" t="s">
        <v>1</v>
      </c>
      <c r="F12" s="13"/>
      <c r="G12" s="14"/>
      <c r="H12" s="12" t="s">
        <v>2</v>
      </c>
      <c r="I12" s="13"/>
      <c r="J12" s="14"/>
      <c r="K12" s="12" t="s">
        <v>3</v>
      </c>
      <c r="L12" s="13"/>
      <c r="M12" s="14"/>
      <c r="N12" s="12" t="s">
        <v>4</v>
      </c>
      <c r="O12" s="13"/>
      <c r="P12" s="14"/>
      <c r="Q12" s="12" t="s">
        <v>5</v>
      </c>
      <c r="R12" s="13"/>
      <c r="S12" s="14"/>
      <c r="T12" s="12" t="s">
        <v>6</v>
      </c>
      <c r="U12" s="13"/>
      <c r="V12" s="14"/>
      <c r="W12" s="12" t="s">
        <v>7</v>
      </c>
      <c r="X12" s="13"/>
      <c r="Y12" s="14"/>
      <c r="Z12" s="12" t="s">
        <v>8</v>
      </c>
      <c r="AA12" s="13"/>
      <c r="AB12" s="14"/>
      <c r="AC12" s="15" t="s">
        <v>75</v>
      </c>
      <c r="AD12" s="16"/>
      <c r="AE12" s="17"/>
    </row>
    <row r="13" spans="1:32" x14ac:dyDescent="0.5">
      <c r="C13" s="19"/>
      <c r="D13" s="21"/>
      <c r="E13" s="8" t="s">
        <v>9</v>
      </c>
      <c r="F13" s="8" t="s">
        <v>10</v>
      </c>
      <c r="G13" s="8" t="s">
        <v>11</v>
      </c>
      <c r="H13" s="8" t="s">
        <v>9</v>
      </c>
      <c r="I13" s="8" t="s">
        <v>10</v>
      </c>
      <c r="J13" s="8" t="s">
        <v>11</v>
      </c>
      <c r="K13" s="8" t="s">
        <v>9</v>
      </c>
      <c r="L13" s="8" t="s">
        <v>10</v>
      </c>
      <c r="M13" s="8" t="s">
        <v>11</v>
      </c>
      <c r="N13" s="8" t="s">
        <v>9</v>
      </c>
      <c r="O13" s="8" t="s">
        <v>10</v>
      </c>
      <c r="P13" s="8" t="s">
        <v>11</v>
      </c>
      <c r="Q13" s="8" t="s">
        <v>9</v>
      </c>
      <c r="R13" s="8" t="s">
        <v>10</v>
      </c>
      <c r="S13" s="8" t="s">
        <v>11</v>
      </c>
      <c r="T13" s="8" t="s">
        <v>9</v>
      </c>
      <c r="U13" s="8" t="s">
        <v>10</v>
      </c>
      <c r="V13" s="8" t="s">
        <v>11</v>
      </c>
      <c r="W13" s="8" t="s">
        <v>9</v>
      </c>
      <c r="X13" s="8" t="s">
        <v>10</v>
      </c>
      <c r="Y13" s="8" t="s">
        <v>11</v>
      </c>
      <c r="Z13" s="8" t="s">
        <v>9</v>
      </c>
      <c r="AA13" s="8" t="s">
        <v>10</v>
      </c>
      <c r="AB13" s="8" t="s">
        <v>11</v>
      </c>
      <c r="AC13" s="8" t="s">
        <v>12</v>
      </c>
      <c r="AD13" s="8" t="s">
        <v>13</v>
      </c>
      <c r="AE13" s="9" t="s">
        <v>11</v>
      </c>
    </row>
    <row r="14" spans="1:32" x14ac:dyDescent="0.5">
      <c r="C14" s="2" t="s">
        <v>16</v>
      </c>
      <c r="D14" s="3">
        <v>3</v>
      </c>
      <c r="E14" s="4">
        <v>105</v>
      </c>
      <c r="F14" s="4">
        <v>16</v>
      </c>
      <c r="G14" s="4">
        <v>307</v>
      </c>
      <c r="H14" s="4">
        <v>95</v>
      </c>
      <c r="I14" s="4">
        <v>22</v>
      </c>
      <c r="J14" s="4">
        <v>483</v>
      </c>
      <c r="K14" s="4">
        <v>138.5</v>
      </c>
      <c r="L14" s="4">
        <v>3</v>
      </c>
      <c r="M14" s="4">
        <v>94</v>
      </c>
      <c r="N14" s="4">
        <v>61</v>
      </c>
      <c r="O14" s="4">
        <v>30</v>
      </c>
      <c r="P14" s="4">
        <v>655</v>
      </c>
      <c r="Q14" s="4">
        <v>74</v>
      </c>
      <c r="R14" s="4">
        <v>35</v>
      </c>
      <c r="S14" s="4">
        <v>603</v>
      </c>
      <c r="T14" s="4">
        <v>69</v>
      </c>
      <c r="U14" s="4">
        <v>49</v>
      </c>
      <c r="V14" s="4">
        <v>855</v>
      </c>
      <c r="W14" s="4">
        <v>338.5</v>
      </c>
      <c r="X14" s="4">
        <v>10</v>
      </c>
      <c r="Y14" s="4">
        <v>247</v>
      </c>
      <c r="Z14" s="4">
        <v>204</v>
      </c>
      <c r="AA14" s="4">
        <v>38</v>
      </c>
      <c r="AB14" s="4">
        <v>695</v>
      </c>
      <c r="AC14" s="4">
        <v>542.5</v>
      </c>
      <c r="AD14" s="4">
        <v>27</v>
      </c>
      <c r="AE14" s="4">
        <v>489</v>
      </c>
    </row>
    <row r="15" spans="1:32" x14ac:dyDescent="0.5">
      <c r="C15" s="2" t="s">
        <v>16</v>
      </c>
      <c r="D15" s="3">
        <v>3</v>
      </c>
      <c r="E15" s="4">
        <v>105</v>
      </c>
      <c r="F15" s="4">
        <v>16</v>
      </c>
      <c r="G15" s="4">
        <v>307</v>
      </c>
      <c r="H15" s="4">
        <v>95</v>
      </c>
      <c r="I15" s="4">
        <v>22</v>
      </c>
      <c r="J15" s="4">
        <v>483</v>
      </c>
      <c r="K15" s="4">
        <v>138.5</v>
      </c>
      <c r="L15" s="4">
        <v>3</v>
      </c>
      <c r="M15" s="4">
        <v>94</v>
      </c>
      <c r="N15" s="4">
        <v>61</v>
      </c>
      <c r="O15" s="4">
        <v>30</v>
      </c>
      <c r="P15" s="4">
        <v>655</v>
      </c>
      <c r="Q15" s="4">
        <v>74</v>
      </c>
      <c r="R15" s="4">
        <v>35</v>
      </c>
      <c r="S15" s="4">
        <v>603</v>
      </c>
      <c r="T15" s="4">
        <v>69</v>
      </c>
      <c r="U15" s="4">
        <v>49</v>
      </c>
      <c r="V15" s="4">
        <v>855</v>
      </c>
      <c r="W15" s="4">
        <v>338.5</v>
      </c>
      <c r="X15" s="4">
        <v>10</v>
      </c>
      <c r="Y15" s="4">
        <v>247</v>
      </c>
      <c r="Z15" s="4">
        <v>204</v>
      </c>
      <c r="AA15" s="4">
        <v>38</v>
      </c>
      <c r="AB15" s="4">
        <v>695</v>
      </c>
      <c r="AC15" s="4">
        <v>542.5</v>
      </c>
      <c r="AD15" s="4">
        <v>27</v>
      </c>
      <c r="AE15" s="4">
        <v>489</v>
      </c>
    </row>
    <row r="17" spans="2:31" ht="14.1" customHeight="1" x14ac:dyDescent="0.5">
      <c r="B17" t="s">
        <v>85</v>
      </c>
      <c r="C17" s="18" t="s">
        <v>73</v>
      </c>
      <c r="D17" s="20" t="s">
        <v>0</v>
      </c>
      <c r="E17" s="12" t="s">
        <v>1</v>
      </c>
      <c r="F17" s="13"/>
      <c r="G17" s="14"/>
      <c r="H17" s="12" t="s">
        <v>2</v>
      </c>
      <c r="I17" s="13"/>
      <c r="J17" s="14"/>
      <c r="K17" s="12" t="s">
        <v>3</v>
      </c>
      <c r="L17" s="13"/>
      <c r="M17" s="14"/>
      <c r="N17" s="12" t="s">
        <v>4</v>
      </c>
      <c r="O17" s="13"/>
      <c r="P17" s="14"/>
      <c r="Q17" s="12" t="s">
        <v>5</v>
      </c>
      <c r="R17" s="13"/>
      <c r="S17" s="14"/>
      <c r="T17" s="12" t="s">
        <v>6</v>
      </c>
      <c r="U17" s="13"/>
      <c r="V17" s="14"/>
      <c r="W17" s="12" t="s">
        <v>7</v>
      </c>
      <c r="X17" s="13"/>
      <c r="Y17" s="14"/>
      <c r="Z17" s="12" t="s">
        <v>8</v>
      </c>
      <c r="AA17" s="13"/>
      <c r="AB17" s="14"/>
      <c r="AC17" s="15" t="s">
        <v>75</v>
      </c>
      <c r="AD17" s="16"/>
      <c r="AE17" s="17"/>
    </row>
    <row r="18" spans="2:31" x14ac:dyDescent="0.5">
      <c r="C18" s="19"/>
      <c r="D18" s="21"/>
      <c r="E18" s="8" t="s">
        <v>9</v>
      </c>
      <c r="F18" s="8" t="s">
        <v>10</v>
      </c>
      <c r="G18" s="8" t="s">
        <v>11</v>
      </c>
      <c r="H18" s="8" t="s">
        <v>9</v>
      </c>
      <c r="I18" s="8" t="s">
        <v>10</v>
      </c>
      <c r="J18" s="8" t="s">
        <v>11</v>
      </c>
      <c r="K18" s="8" t="s">
        <v>9</v>
      </c>
      <c r="L18" s="8" t="s">
        <v>10</v>
      </c>
      <c r="M18" s="8" t="s">
        <v>11</v>
      </c>
      <c r="N18" s="8" t="s">
        <v>9</v>
      </c>
      <c r="O18" s="8" t="s">
        <v>10</v>
      </c>
      <c r="P18" s="8" t="s">
        <v>11</v>
      </c>
      <c r="Q18" s="8" t="s">
        <v>9</v>
      </c>
      <c r="R18" s="8" t="s">
        <v>10</v>
      </c>
      <c r="S18" s="8" t="s">
        <v>11</v>
      </c>
      <c r="T18" s="8" t="s">
        <v>9</v>
      </c>
      <c r="U18" s="8" t="s">
        <v>10</v>
      </c>
      <c r="V18" s="8" t="s">
        <v>11</v>
      </c>
      <c r="W18" s="8" t="s">
        <v>9</v>
      </c>
      <c r="X18" s="8" t="s">
        <v>10</v>
      </c>
      <c r="Y18" s="8" t="s">
        <v>11</v>
      </c>
      <c r="Z18" s="8" t="s">
        <v>9</v>
      </c>
      <c r="AA18" s="8" t="s">
        <v>10</v>
      </c>
      <c r="AB18" s="8" t="s">
        <v>11</v>
      </c>
      <c r="AC18" s="8" t="s">
        <v>12</v>
      </c>
      <c r="AD18" s="8" t="s">
        <v>13</v>
      </c>
      <c r="AE18" s="9" t="s">
        <v>11</v>
      </c>
    </row>
    <row r="19" spans="2:31" x14ac:dyDescent="0.5">
      <c r="C19" s="2" t="s">
        <v>17</v>
      </c>
      <c r="D19" s="3">
        <v>4</v>
      </c>
      <c r="E19" s="4">
        <v>98</v>
      </c>
      <c r="F19" s="4">
        <v>28</v>
      </c>
      <c r="G19" s="4">
        <v>604</v>
      </c>
      <c r="H19" s="4">
        <v>109</v>
      </c>
      <c r="I19" s="4">
        <v>11</v>
      </c>
      <c r="J19" s="4">
        <v>227</v>
      </c>
      <c r="K19" s="4">
        <v>122.5</v>
      </c>
      <c r="L19" s="4">
        <v>37</v>
      </c>
      <c r="M19" s="4">
        <v>660</v>
      </c>
      <c r="N19" s="4">
        <v>87</v>
      </c>
      <c r="O19" s="4">
        <v>9</v>
      </c>
      <c r="P19" s="4">
        <v>160</v>
      </c>
      <c r="Q19" s="4">
        <v>76</v>
      </c>
      <c r="R19" s="4">
        <v>32</v>
      </c>
      <c r="S19" s="4">
        <v>534</v>
      </c>
      <c r="T19" s="4">
        <v>88</v>
      </c>
      <c r="U19" s="4">
        <v>15</v>
      </c>
      <c r="V19" s="4">
        <v>224</v>
      </c>
      <c r="W19" s="4">
        <v>329.5</v>
      </c>
      <c r="X19" s="4">
        <v>21</v>
      </c>
      <c r="Y19" s="4">
        <v>357</v>
      </c>
      <c r="Z19" s="4">
        <v>251</v>
      </c>
      <c r="AA19" s="4">
        <v>17</v>
      </c>
      <c r="AB19" s="4">
        <v>247</v>
      </c>
      <c r="AC19" s="4">
        <v>580.5</v>
      </c>
      <c r="AD19" s="4">
        <v>16</v>
      </c>
      <c r="AE19" s="4">
        <v>275</v>
      </c>
    </row>
    <row r="20" spans="2:31" x14ac:dyDescent="0.5">
      <c r="C20" s="2" t="s">
        <v>17</v>
      </c>
      <c r="D20" s="3">
        <v>4</v>
      </c>
      <c r="E20" s="4">
        <v>98</v>
      </c>
      <c r="F20" s="4">
        <v>28</v>
      </c>
      <c r="G20" s="4">
        <v>604</v>
      </c>
      <c r="H20" s="4">
        <v>109</v>
      </c>
      <c r="I20" s="4">
        <v>11</v>
      </c>
      <c r="J20" s="4">
        <v>227</v>
      </c>
      <c r="K20" s="4">
        <v>122.5</v>
      </c>
      <c r="L20" s="4">
        <v>37</v>
      </c>
      <c r="M20" s="4">
        <v>660</v>
      </c>
      <c r="N20" s="4">
        <v>87</v>
      </c>
      <c r="O20" s="4">
        <v>9</v>
      </c>
      <c r="P20" s="4">
        <v>160</v>
      </c>
      <c r="Q20" s="4">
        <v>76</v>
      </c>
      <c r="R20" s="4">
        <v>32</v>
      </c>
      <c r="S20" s="4">
        <v>534</v>
      </c>
      <c r="T20" s="4">
        <v>88</v>
      </c>
      <c r="U20" s="4">
        <v>15</v>
      </c>
      <c r="V20" s="4">
        <v>224</v>
      </c>
      <c r="W20" s="4">
        <v>329.5</v>
      </c>
      <c r="X20" s="4">
        <v>21</v>
      </c>
      <c r="Y20" s="4">
        <v>357</v>
      </c>
      <c r="Z20" s="4">
        <v>251</v>
      </c>
      <c r="AA20" s="4">
        <v>17</v>
      </c>
      <c r="AB20" s="4">
        <v>247</v>
      </c>
      <c r="AC20" s="4">
        <v>580.5</v>
      </c>
      <c r="AD20" s="4">
        <v>16</v>
      </c>
      <c r="AE20" s="4">
        <v>275</v>
      </c>
    </row>
    <row r="22" spans="2:31" ht="14.1" customHeight="1" x14ac:dyDescent="0.5">
      <c r="B22" t="s">
        <v>85</v>
      </c>
      <c r="C22" s="18" t="s">
        <v>73</v>
      </c>
      <c r="D22" s="20" t="s">
        <v>0</v>
      </c>
      <c r="E22" s="12" t="s">
        <v>1</v>
      </c>
      <c r="F22" s="13"/>
      <c r="G22" s="14"/>
      <c r="H22" s="12" t="s">
        <v>2</v>
      </c>
      <c r="I22" s="13"/>
      <c r="J22" s="14"/>
      <c r="K22" s="12" t="s">
        <v>3</v>
      </c>
      <c r="L22" s="13"/>
      <c r="M22" s="14"/>
      <c r="N22" s="12" t="s">
        <v>4</v>
      </c>
      <c r="O22" s="13"/>
      <c r="P22" s="14"/>
      <c r="Q22" s="12" t="s">
        <v>5</v>
      </c>
      <c r="R22" s="13"/>
      <c r="S22" s="14"/>
      <c r="T22" s="12" t="s">
        <v>6</v>
      </c>
      <c r="U22" s="13"/>
      <c r="V22" s="14"/>
      <c r="W22" s="12" t="s">
        <v>7</v>
      </c>
      <c r="X22" s="13"/>
      <c r="Y22" s="14"/>
      <c r="Z22" s="12" t="s">
        <v>8</v>
      </c>
      <c r="AA22" s="13"/>
      <c r="AB22" s="14"/>
      <c r="AC22" s="15" t="s">
        <v>75</v>
      </c>
      <c r="AD22" s="16"/>
      <c r="AE22" s="17"/>
    </row>
    <row r="23" spans="2:31" x14ac:dyDescent="0.5">
      <c r="C23" s="19"/>
      <c r="D23" s="21"/>
      <c r="E23" s="8" t="s">
        <v>9</v>
      </c>
      <c r="F23" s="8" t="s">
        <v>10</v>
      </c>
      <c r="G23" s="8" t="s">
        <v>11</v>
      </c>
      <c r="H23" s="8" t="s">
        <v>9</v>
      </c>
      <c r="I23" s="8" t="s">
        <v>10</v>
      </c>
      <c r="J23" s="8" t="s">
        <v>11</v>
      </c>
      <c r="K23" s="8" t="s">
        <v>9</v>
      </c>
      <c r="L23" s="8" t="s">
        <v>10</v>
      </c>
      <c r="M23" s="8" t="s">
        <v>11</v>
      </c>
      <c r="N23" s="8" t="s">
        <v>9</v>
      </c>
      <c r="O23" s="8" t="s">
        <v>10</v>
      </c>
      <c r="P23" s="8" t="s">
        <v>11</v>
      </c>
      <c r="Q23" s="8" t="s">
        <v>9</v>
      </c>
      <c r="R23" s="8" t="s">
        <v>10</v>
      </c>
      <c r="S23" s="8" t="s">
        <v>11</v>
      </c>
      <c r="T23" s="8" t="s">
        <v>9</v>
      </c>
      <c r="U23" s="8" t="s">
        <v>10</v>
      </c>
      <c r="V23" s="8" t="s">
        <v>11</v>
      </c>
      <c r="W23" s="8" t="s">
        <v>9</v>
      </c>
      <c r="X23" s="8" t="s">
        <v>10</v>
      </c>
      <c r="Y23" s="8" t="s">
        <v>11</v>
      </c>
      <c r="Z23" s="8" t="s">
        <v>9</v>
      </c>
      <c r="AA23" s="8" t="s">
        <v>10</v>
      </c>
      <c r="AB23" s="8" t="s">
        <v>11</v>
      </c>
      <c r="AC23" s="8" t="s">
        <v>12</v>
      </c>
      <c r="AD23" s="8" t="s">
        <v>13</v>
      </c>
      <c r="AE23" s="9" t="s">
        <v>11</v>
      </c>
    </row>
    <row r="24" spans="2:31" x14ac:dyDescent="0.5">
      <c r="C24" s="2" t="s">
        <v>18</v>
      </c>
      <c r="D24" s="3">
        <v>5</v>
      </c>
      <c r="E24" s="4">
        <v>96</v>
      </c>
      <c r="F24" s="4">
        <v>33</v>
      </c>
      <c r="G24" s="4">
        <v>696</v>
      </c>
      <c r="H24" s="4">
        <v>112</v>
      </c>
      <c r="I24" s="4">
        <v>8</v>
      </c>
      <c r="J24" s="4">
        <v>181</v>
      </c>
      <c r="K24" s="4">
        <v>123</v>
      </c>
      <c r="L24" s="4">
        <v>35</v>
      </c>
      <c r="M24" s="4">
        <v>637</v>
      </c>
      <c r="N24" s="4">
        <v>103</v>
      </c>
      <c r="O24" s="4">
        <v>2</v>
      </c>
      <c r="P24" s="4">
        <v>16</v>
      </c>
      <c r="Q24" s="4">
        <v>88</v>
      </c>
      <c r="R24" s="4">
        <v>9</v>
      </c>
      <c r="S24" s="4">
        <v>158</v>
      </c>
      <c r="T24" s="4">
        <v>83</v>
      </c>
      <c r="U24" s="4">
        <v>26</v>
      </c>
      <c r="V24" s="4">
        <v>407</v>
      </c>
      <c r="W24" s="4">
        <v>331</v>
      </c>
      <c r="X24" s="4">
        <v>18</v>
      </c>
      <c r="Y24" s="4">
        <v>343</v>
      </c>
      <c r="Z24" s="4">
        <v>274</v>
      </c>
      <c r="AA24" s="4">
        <v>6</v>
      </c>
      <c r="AB24" s="4">
        <v>77</v>
      </c>
      <c r="AC24" s="4">
        <v>605</v>
      </c>
      <c r="AD24" s="4">
        <v>9</v>
      </c>
      <c r="AE24" s="4">
        <v>163</v>
      </c>
    </row>
    <row r="25" spans="2:31" x14ac:dyDescent="0.5">
      <c r="C25" s="2" t="s">
        <v>18</v>
      </c>
      <c r="D25" s="3">
        <v>5</v>
      </c>
      <c r="E25" s="4">
        <v>96</v>
      </c>
      <c r="F25" s="4">
        <v>33</v>
      </c>
      <c r="G25" s="4">
        <v>696</v>
      </c>
      <c r="H25" s="4">
        <v>112</v>
      </c>
      <c r="I25" s="4">
        <v>8</v>
      </c>
      <c r="J25" s="4">
        <v>181</v>
      </c>
      <c r="K25" s="4">
        <v>123</v>
      </c>
      <c r="L25" s="4">
        <v>35</v>
      </c>
      <c r="M25" s="4">
        <v>637</v>
      </c>
      <c r="N25" s="4">
        <v>103</v>
      </c>
      <c r="O25" s="4">
        <v>2</v>
      </c>
      <c r="P25" s="4">
        <v>16</v>
      </c>
      <c r="Q25" s="4">
        <v>88</v>
      </c>
      <c r="R25" s="4">
        <v>9</v>
      </c>
      <c r="S25" s="4">
        <v>158</v>
      </c>
      <c r="T25" s="4">
        <v>83</v>
      </c>
      <c r="U25" s="4">
        <v>26</v>
      </c>
      <c r="V25" s="4">
        <v>407</v>
      </c>
      <c r="W25" s="4">
        <v>331</v>
      </c>
      <c r="X25" s="4">
        <v>18</v>
      </c>
      <c r="Y25" s="4">
        <v>343</v>
      </c>
      <c r="Z25" s="4">
        <v>274</v>
      </c>
      <c r="AA25" s="4">
        <v>6</v>
      </c>
      <c r="AB25" s="4">
        <v>77</v>
      </c>
      <c r="AC25" s="4">
        <v>605</v>
      </c>
      <c r="AD25" s="4">
        <v>9</v>
      </c>
      <c r="AE25" s="4">
        <v>163</v>
      </c>
    </row>
    <row r="27" spans="2:31" ht="14.1" customHeight="1" x14ac:dyDescent="0.5">
      <c r="B27" t="s">
        <v>85</v>
      </c>
      <c r="C27" s="18" t="s">
        <v>73</v>
      </c>
      <c r="D27" s="20" t="s">
        <v>0</v>
      </c>
      <c r="E27" s="12" t="s">
        <v>1</v>
      </c>
      <c r="F27" s="13"/>
      <c r="G27" s="14"/>
      <c r="H27" s="12" t="s">
        <v>2</v>
      </c>
      <c r="I27" s="13"/>
      <c r="J27" s="14"/>
      <c r="K27" s="12" t="s">
        <v>3</v>
      </c>
      <c r="L27" s="13"/>
      <c r="M27" s="14"/>
      <c r="N27" s="12" t="s">
        <v>4</v>
      </c>
      <c r="O27" s="13"/>
      <c r="P27" s="14"/>
      <c r="Q27" s="12" t="s">
        <v>5</v>
      </c>
      <c r="R27" s="13"/>
      <c r="S27" s="14"/>
      <c r="T27" s="12" t="s">
        <v>6</v>
      </c>
      <c r="U27" s="13"/>
      <c r="V27" s="14"/>
      <c r="W27" s="12" t="s">
        <v>7</v>
      </c>
      <c r="X27" s="13"/>
      <c r="Y27" s="14"/>
      <c r="Z27" s="12" t="s">
        <v>8</v>
      </c>
      <c r="AA27" s="13"/>
      <c r="AB27" s="14"/>
      <c r="AC27" s="15" t="s">
        <v>75</v>
      </c>
      <c r="AD27" s="16"/>
      <c r="AE27" s="17"/>
    </row>
    <row r="28" spans="2:31" x14ac:dyDescent="0.5">
      <c r="C28" s="19"/>
      <c r="D28" s="21"/>
      <c r="E28" s="8" t="s">
        <v>9</v>
      </c>
      <c r="F28" s="8" t="s">
        <v>10</v>
      </c>
      <c r="G28" s="8" t="s">
        <v>11</v>
      </c>
      <c r="H28" s="8" t="s">
        <v>9</v>
      </c>
      <c r="I28" s="8" t="s">
        <v>10</v>
      </c>
      <c r="J28" s="8" t="s">
        <v>11</v>
      </c>
      <c r="K28" s="8" t="s">
        <v>9</v>
      </c>
      <c r="L28" s="8" t="s">
        <v>10</v>
      </c>
      <c r="M28" s="8" t="s">
        <v>11</v>
      </c>
      <c r="N28" s="8" t="s">
        <v>9</v>
      </c>
      <c r="O28" s="8" t="s">
        <v>10</v>
      </c>
      <c r="P28" s="8" t="s">
        <v>11</v>
      </c>
      <c r="Q28" s="8" t="s">
        <v>9</v>
      </c>
      <c r="R28" s="8" t="s">
        <v>10</v>
      </c>
      <c r="S28" s="8" t="s">
        <v>11</v>
      </c>
      <c r="T28" s="8" t="s">
        <v>9</v>
      </c>
      <c r="U28" s="8" t="s">
        <v>10</v>
      </c>
      <c r="V28" s="8" t="s">
        <v>11</v>
      </c>
      <c r="W28" s="8" t="s">
        <v>9</v>
      </c>
      <c r="X28" s="8" t="s">
        <v>10</v>
      </c>
      <c r="Y28" s="8" t="s">
        <v>11</v>
      </c>
      <c r="Z28" s="8" t="s">
        <v>9</v>
      </c>
      <c r="AA28" s="8" t="s">
        <v>10</v>
      </c>
      <c r="AB28" s="8" t="s">
        <v>11</v>
      </c>
      <c r="AC28" s="8" t="s">
        <v>12</v>
      </c>
      <c r="AD28" s="8" t="s">
        <v>13</v>
      </c>
      <c r="AE28" s="9" t="s">
        <v>11</v>
      </c>
    </row>
    <row r="29" spans="2:31" x14ac:dyDescent="0.5">
      <c r="C29" s="2" t="s">
        <v>19</v>
      </c>
      <c r="D29" s="3">
        <v>6</v>
      </c>
      <c r="E29" s="4">
        <v>109</v>
      </c>
      <c r="F29" s="4">
        <v>10</v>
      </c>
      <c r="G29" s="4">
        <v>175</v>
      </c>
      <c r="H29" s="4">
        <v>68</v>
      </c>
      <c r="I29" s="4">
        <v>49</v>
      </c>
      <c r="J29" s="4">
        <v>1044</v>
      </c>
      <c r="K29" s="4">
        <v>125</v>
      </c>
      <c r="L29" s="4">
        <v>30</v>
      </c>
      <c r="M29" s="4">
        <v>555</v>
      </c>
      <c r="N29" s="4">
        <v>52</v>
      </c>
      <c r="O29" s="4">
        <v>38</v>
      </c>
      <c r="P29" s="4">
        <v>860</v>
      </c>
      <c r="Q29" s="4">
        <v>78</v>
      </c>
      <c r="R29" s="4">
        <v>28</v>
      </c>
      <c r="S29" s="4">
        <v>460</v>
      </c>
      <c r="T29" s="4">
        <v>71</v>
      </c>
      <c r="U29" s="4">
        <v>43</v>
      </c>
      <c r="V29" s="4">
        <v>784</v>
      </c>
      <c r="W29" s="4">
        <v>302</v>
      </c>
      <c r="X29" s="4">
        <v>35</v>
      </c>
      <c r="Y29" s="4">
        <v>683</v>
      </c>
      <c r="Z29" s="4">
        <v>201</v>
      </c>
      <c r="AA29" s="4">
        <v>40</v>
      </c>
      <c r="AB29" s="4">
        <v>730</v>
      </c>
      <c r="AC29" s="4">
        <v>503</v>
      </c>
      <c r="AD29" s="4">
        <v>38</v>
      </c>
      <c r="AE29" s="4">
        <v>711</v>
      </c>
    </row>
    <row r="30" spans="2:31" x14ac:dyDescent="0.5">
      <c r="C30" s="2" t="s">
        <v>19</v>
      </c>
      <c r="D30" s="3">
        <v>6</v>
      </c>
      <c r="E30" s="4">
        <v>109</v>
      </c>
      <c r="F30" s="4">
        <v>10</v>
      </c>
      <c r="G30" s="4">
        <v>175</v>
      </c>
      <c r="H30" s="4">
        <v>68</v>
      </c>
      <c r="I30" s="4">
        <v>49</v>
      </c>
      <c r="J30" s="4">
        <v>1044</v>
      </c>
      <c r="K30" s="4">
        <v>125</v>
      </c>
      <c r="L30" s="4">
        <v>30</v>
      </c>
      <c r="M30" s="4">
        <v>555</v>
      </c>
      <c r="N30" s="4">
        <v>52</v>
      </c>
      <c r="O30" s="4">
        <v>38</v>
      </c>
      <c r="P30" s="4">
        <v>860</v>
      </c>
      <c r="Q30" s="4">
        <v>78</v>
      </c>
      <c r="R30" s="4">
        <v>28</v>
      </c>
      <c r="S30" s="4">
        <v>460</v>
      </c>
      <c r="T30" s="4">
        <v>71</v>
      </c>
      <c r="U30" s="4">
        <v>43</v>
      </c>
      <c r="V30" s="4">
        <v>784</v>
      </c>
      <c r="W30" s="4">
        <v>302</v>
      </c>
      <c r="X30" s="4">
        <v>35</v>
      </c>
      <c r="Y30" s="4">
        <v>683</v>
      </c>
      <c r="Z30" s="4">
        <v>201</v>
      </c>
      <c r="AA30" s="4">
        <v>40</v>
      </c>
      <c r="AB30" s="4">
        <v>730</v>
      </c>
      <c r="AC30" s="4">
        <v>503</v>
      </c>
      <c r="AD30" s="4">
        <v>38</v>
      </c>
      <c r="AE30" s="4">
        <v>711</v>
      </c>
    </row>
    <row r="32" spans="2:31" ht="14.1" customHeight="1" x14ac:dyDescent="0.5">
      <c r="B32" t="s">
        <v>85</v>
      </c>
      <c r="C32" s="18" t="s">
        <v>73</v>
      </c>
      <c r="D32" s="20" t="s">
        <v>0</v>
      </c>
      <c r="E32" s="12" t="s">
        <v>1</v>
      </c>
      <c r="F32" s="13"/>
      <c r="G32" s="14"/>
      <c r="H32" s="12" t="s">
        <v>2</v>
      </c>
      <c r="I32" s="13"/>
      <c r="J32" s="14"/>
      <c r="K32" s="12" t="s">
        <v>3</v>
      </c>
      <c r="L32" s="13"/>
      <c r="M32" s="14"/>
      <c r="N32" s="12" t="s">
        <v>4</v>
      </c>
      <c r="O32" s="13"/>
      <c r="P32" s="14"/>
      <c r="Q32" s="12" t="s">
        <v>5</v>
      </c>
      <c r="R32" s="13"/>
      <c r="S32" s="14"/>
      <c r="T32" s="12" t="s">
        <v>6</v>
      </c>
      <c r="U32" s="13"/>
      <c r="V32" s="14"/>
      <c r="W32" s="12" t="s">
        <v>7</v>
      </c>
      <c r="X32" s="13"/>
      <c r="Y32" s="14"/>
      <c r="Z32" s="12" t="s">
        <v>8</v>
      </c>
      <c r="AA32" s="13"/>
      <c r="AB32" s="14"/>
      <c r="AC32" s="15" t="s">
        <v>75</v>
      </c>
      <c r="AD32" s="16"/>
      <c r="AE32" s="17"/>
    </row>
    <row r="33" spans="2:31" x14ac:dyDescent="0.5">
      <c r="C33" s="19"/>
      <c r="D33" s="21"/>
      <c r="E33" s="8" t="s">
        <v>9</v>
      </c>
      <c r="F33" s="8" t="s">
        <v>10</v>
      </c>
      <c r="G33" s="8" t="s">
        <v>11</v>
      </c>
      <c r="H33" s="8" t="s">
        <v>9</v>
      </c>
      <c r="I33" s="8" t="s">
        <v>10</v>
      </c>
      <c r="J33" s="8" t="s">
        <v>11</v>
      </c>
      <c r="K33" s="8" t="s">
        <v>9</v>
      </c>
      <c r="L33" s="8" t="s">
        <v>10</v>
      </c>
      <c r="M33" s="8" t="s">
        <v>11</v>
      </c>
      <c r="N33" s="8" t="s">
        <v>9</v>
      </c>
      <c r="O33" s="8" t="s">
        <v>10</v>
      </c>
      <c r="P33" s="8" t="s">
        <v>11</v>
      </c>
      <c r="Q33" s="8" t="s">
        <v>9</v>
      </c>
      <c r="R33" s="8" t="s">
        <v>10</v>
      </c>
      <c r="S33" s="8" t="s">
        <v>11</v>
      </c>
      <c r="T33" s="8" t="s">
        <v>9</v>
      </c>
      <c r="U33" s="8" t="s">
        <v>10</v>
      </c>
      <c r="V33" s="8" t="s">
        <v>11</v>
      </c>
      <c r="W33" s="8" t="s">
        <v>9</v>
      </c>
      <c r="X33" s="8" t="s">
        <v>10</v>
      </c>
      <c r="Y33" s="8" t="s">
        <v>11</v>
      </c>
      <c r="Z33" s="8" t="s">
        <v>9</v>
      </c>
      <c r="AA33" s="8" t="s">
        <v>10</v>
      </c>
      <c r="AB33" s="8" t="s">
        <v>11</v>
      </c>
      <c r="AC33" s="8" t="s">
        <v>12</v>
      </c>
      <c r="AD33" s="8" t="s">
        <v>13</v>
      </c>
      <c r="AE33" s="9" t="s">
        <v>11</v>
      </c>
    </row>
    <row r="34" spans="2:31" x14ac:dyDescent="0.5">
      <c r="C34" s="2" t="s">
        <v>20</v>
      </c>
      <c r="D34" s="3">
        <v>7</v>
      </c>
      <c r="E34" s="4">
        <v>109</v>
      </c>
      <c r="F34" s="4">
        <v>10</v>
      </c>
      <c r="G34" s="4">
        <v>175</v>
      </c>
      <c r="H34" s="4">
        <v>87</v>
      </c>
      <c r="I34" s="4">
        <v>34</v>
      </c>
      <c r="J34" s="4">
        <v>660</v>
      </c>
      <c r="K34" s="4">
        <v>135.5</v>
      </c>
      <c r="L34" s="4">
        <v>8</v>
      </c>
      <c r="M34" s="4">
        <v>198</v>
      </c>
      <c r="N34" s="4">
        <v>49</v>
      </c>
      <c r="O34" s="4">
        <v>44</v>
      </c>
      <c r="P34" s="4">
        <v>926</v>
      </c>
      <c r="Q34" s="4">
        <v>70</v>
      </c>
      <c r="R34" s="4">
        <v>41</v>
      </c>
      <c r="S34" s="4">
        <v>743</v>
      </c>
      <c r="T34" s="4">
        <v>78</v>
      </c>
      <c r="U34" s="4">
        <v>36</v>
      </c>
      <c r="V34" s="4">
        <v>568</v>
      </c>
      <c r="W34" s="4">
        <v>331.5</v>
      </c>
      <c r="X34" s="4">
        <v>17</v>
      </c>
      <c r="Y34" s="4">
        <v>334</v>
      </c>
      <c r="Z34" s="4">
        <v>197</v>
      </c>
      <c r="AA34" s="4">
        <v>42</v>
      </c>
      <c r="AB34" s="4">
        <v>769</v>
      </c>
      <c r="AC34" s="4">
        <v>528.5</v>
      </c>
      <c r="AD34" s="4">
        <v>33</v>
      </c>
      <c r="AE34" s="4">
        <v>571</v>
      </c>
    </row>
    <row r="35" spans="2:31" x14ac:dyDescent="0.5">
      <c r="C35" s="2" t="s">
        <v>20</v>
      </c>
      <c r="D35" s="3">
        <v>7</v>
      </c>
      <c r="E35" s="4">
        <v>109</v>
      </c>
      <c r="F35" s="4">
        <v>10</v>
      </c>
      <c r="G35" s="4">
        <v>175</v>
      </c>
      <c r="H35" s="4">
        <v>87</v>
      </c>
      <c r="I35" s="4">
        <v>34</v>
      </c>
      <c r="J35" s="4">
        <v>660</v>
      </c>
      <c r="K35" s="4">
        <v>135.5</v>
      </c>
      <c r="L35" s="4">
        <v>8</v>
      </c>
      <c r="M35" s="4">
        <v>198</v>
      </c>
      <c r="N35" s="4">
        <v>49</v>
      </c>
      <c r="O35" s="4">
        <v>44</v>
      </c>
      <c r="P35" s="4">
        <v>926</v>
      </c>
      <c r="Q35" s="4">
        <v>70</v>
      </c>
      <c r="R35" s="4">
        <v>41</v>
      </c>
      <c r="S35" s="4">
        <v>743</v>
      </c>
      <c r="T35" s="4">
        <v>78</v>
      </c>
      <c r="U35" s="4">
        <v>36</v>
      </c>
      <c r="V35" s="4">
        <v>568</v>
      </c>
      <c r="W35" s="4">
        <v>331.5</v>
      </c>
      <c r="X35" s="4">
        <v>17</v>
      </c>
      <c r="Y35" s="4">
        <v>334</v>
      </c>
      <c r="Z35" s="4">
        <v>197</v>
      </c>
      <c r="AA35" s="4">
        <v>42</v>
      </c>
      <c r="AB35" s="4">
        <v>769</v>
      </c>
      <c r="AC35" s="4">
        <v>528.5</v>
      </c>
      <c r="AD35" s="4">
        <v>33</v>
      </c>
      <c r="AE35" s="4">
        <v>571</v>
      </c>
    </row>
    <row r="37" spans="2:31" ht="14.1" customHeight="1" x14ac:dyDescent="0.5">
      <c r="B37" t="s">
        <v>85</v>
      </c>
      <c r="C37" s="18" t="s">
        <v>73</v>
      </c>
      <c r="D37" s="20" t="s">
        <v>0</v>
      </c>
      <c r="E37" s="12" t="s">
        <v>1</v>
      </c>
      <c r="F37" s="13"/>
      <c r="G37" s="14"/>
      <c r="H37" s="12" t="s">
        <v>2</v>
      </c>
      <c r="I37" s="13"/>
      <c r="J37" s="14"/>
      <c r="K37" s="12" t="s">
        <v>3</v>
      </c>
      <c r="L37" s="13"/>
      <c r="M37" s="14"/>
      <c r="N37" s="12" t="s">
        <v>4</v>
      </c>
      <c r="O37" s="13"/>
      <c r="P37" s="14"/>
      <c r="Q37" s="12" t="s">
        <v>5</v>
      </c>
      <c r="R37" s="13"/>
      <c r="S37" s="14"/>
      <c r="T37" s="12" t="s">
        <v>6</v>
      </c>
      <c r="U37" s="13"/>
      <c r="V37" s="14"/>
      <c r="W37" s="12" t="s">
        <v>7</v>
      </c>
      <c r="X37" s="13"/>
      <c r="Y37" s="14"/>
      <c r="Z37" s="12" t="s">
        <v>8</v>
      </c>
      <c r="AA37" s="13"/>
      <c r="AB37" s="14"/>
      <c r="AC37" s="15" t="s">
        <v>75</v>
      </c>
      <c r="AD37" s="16"/>
      <c r="AE37" s="17"/>
    </row>
    <row r="38" spans="2:31" x14ac:dyDescent="0.5">
      <c r="C38" s="19"/>
      <c r="D38" s="21"/>
      <c r="E38" s="8" t="s">
        <v>9</v>
      </c>
      <c r="F38" s="8" t="s">
        <v>10</v>
      </c>
      <c r="G38" s="8" t="s">
        <v>11</v>
      </c>
      <c r="H38" s="8" t="s">
        <v>9</v>
      </c>
      <c r="I38" s="8" t="s">
        <v>10</v>
      </c>
      <c r="J38" s="8" t="s">
        <v>11</v>
      </c>
      <c r="K38" s="8" t="s">
        <v>9</v>
      </c>
      <c r="L38" s="8" t="s">
        <v>10</v>
      </c>
      <c r="M38" s="8" t="s">
        <v>11</v>
      </c>
      <c r="N38" s="8" t="s">
        <v>9</v>
      </c>
      <c r="O38" s="8" t="s">
        <v>10</v>
      </c>
      <c r="P38" s="8" t="s">
        <v>11</v>
      </c>
      <c r="Q38" s="8" t="s">
        <v>9</v>
      </c>
      <c r="R38" s="8" t="s">
        <v>10</v>
      </c>
      <c r="S38" s="8" t="s">
        <v>11</v>
      </c>
      <c r="T38" s="8" t="s">
        <v>9</v>
      </c>
      <c r="U38" s="8" t="s">
        <v>10</v>
      </c>
      <c r="V38" s="8" t="s">
        <v>11</v>
      </c>
      <c r="W38" s="8" t="s">
        <v>9</v>
      </c>
      <c r="X38" s="8" t="s">
        <v>10</v>
      </c>
      <c r="Y38" s="8" t="s">
        <v>11</v>
      </c>
      <c r="Z38" s="8" t="s">
        <v>9</v>
      </c>
      <c r="AA38" s="8" t="s">
        <v>10</v>
      </c>
      <c r="AB38" s="8" t="s">
        <v>11</v>
      </c>
      <c r="AC38" s="8" t="s">
        <v>12</v>
      </c>
      <c r="AD38" s="8" t="s">
        <v>13</v>
      </c>
      <c r="AE38" s="9" t="s">
        <v>11</v>
      </c>
    </row>
    <row r="39" spans="2:31" x14ac:dyDescent="0.5">
      <c r="C39" s="2" t="s">
        <v>21</v>
      </c>
      <c r="D39" s="3">
        <v>8</v>
      </c>
      <c r="E39" s="4">
        <v>119</v>
      </c>
      <c r="F39" s="4">
        <v>1</v>
      </c>
      <c r="G39" s="4">
        <v>17</v>
      </c>
      <c r="H39" s="4">
        <v>111</v>
      </c>
      <c r="I39" s="4">
        <v>10</v>
      </c>
      <c r="J39" s="4">
        <v>194</v>
      </c>
      <c r="K39" s="4">
        <v>139.5</v>
      </c>
      <c r="L39" s="4">
        <v>2</v>
      </c>
      <c r="M39" s="4">
        <v>72</v>
      </c>
      <c r="N39" s="4">
        <v>82</v>
      </c>
      <c r="O39" s="4">
        <v>12</v>
      </c>
      <c r="P39" s="4">
        <v>231</v>
      </c>
      <c r="Q39" s="4">
        <v>88</v>
      </c>
      <c r="R39" s="4">
        <v>9</v>
      </c>
      <c r="S39" s="4">
        <v>158</v>
      </c>
      <c r="T39" s="4">
        <v>95</v>
      </c>
      <c r="U39" s="4">
        <v>4</v>
      </c>
      <c r="V39" s="4">
        <v>32</v>
      </c>
      <c r="W39" s="4">
        <v>369.5</v>
      </c>
      <c r="X39" s="4">
        <v>2</v>
      </c>
      <c r="Y39" s="4">
        <v>59</v>
      </c>
      <c r="Z39" s="4">
        <v>265</v>
      </c>
      <c r="AA39" s="4">
        <v>8</v>
      </c>
      <c r="AB39" s="4">
        <v>130</v>
      </c>
      <c r="AC39" s="4">
        <v>634.5</v>
      </c>
      <c r="AD39" s="4">
        <v>4</v>
      </c>
      <c r="AE39" s="4">
        <v>69</v>
      </c>
    </row>
    <row r="40" spans="2:31" x14ac:dyDescent="0.5">
      <c r="C40" s="2" t="s">
        <v>21</v>
      </c>
      <c r="D40" s="3">
        <v>8</v>
      </c>
      <c r="E40" s="4">
        <v>119</v>
      </c>
      <c r="F40" s="4">
        <v>1</v>
      </c>
      <c r="G40" s="4">
        <v>17</v>
      </c>
      <c r="H40" s="4">
        <v>111</v>
      </c>
      <c r="I40" s="4">
        <v>10</v>
      </c>
      <c r="J40" s="4">
        <v>194</v>
      </c>
      <c r="K40" s="4">
        <v>139.5</v>
      </c>
      <c r="L40" s="4">
        <v>2</v>
      </c>
      <c r="M40" s="4">
        <v>72</v>
      </c>
      <c r="N40" s="4">
        <v>82</v>
      </c>
      <c r="O40" s="4">
        <v>12</v>
      </c>
      <c r="P40" s="4">
        <v>231</v>
      </c>
      <c r="Q40" s="4">
        <v>88</v>
      </c>
      <c r="R40" s="4">
        <v>9</v>
      </c>
      <c r="S40" s="4">
        <v>158</v>
      </c>
      <c r="T40" s="4">
        <v>95</v>
      </c>
      <c r="U40" s="4">
        <v>4</v>
      </c>
      <c r="V40" s="4">
        <v>32</v>
      </c>
      <c r="W40" s="4">
        <v>369.5</v>
      </c>
      <c r="X40" s="4">
        <v>2</v>
      </c>
      <c r="Y40" s="4">
        <v>59</v>
      </c>
      <c r="Z40" s="4">
        <v>265</v>
      </c>
      <c r="AA40" s="4">
        <v>8</v>
      </c>
      <c r="AB40" s="4">
        <v>130</v>
      </c>
      <c r="AC40" s="4">
        <v>634.5</v>
      </c>
      <c r="AD40" s="4">
        <v>4</v>
      </c>
      <c r="AE40" s="4">
        <v>69</v>
      </c>
    </row>
    <row r="42" spans="2:31" ht="14.1" customHeight="1" x14ac:dyDescent="0.5">
      <c r="B42" t="s">
        <v>85</v>
      </c>
      <c r="C42" s="18" t="s">
        <v>73</v>
      </c>
      <c r="D42" s="20" t="s">
        <v>0</v>
      </c>
      <c r="E42" s="12" t="s">
        <v>1</v>
      </c>
      <c r="F42" s="13"/>
      <c r="G42" s="14"/>
      <c r="H42" s="12" t="s">
        <v>2</v>
      </c>
      <c r="I42" s="13"/>
      <c r="J42" s="14"/>
      <c r="K42" s="12" t="s">
        <v>3</v>
      </c>
      <c r="L42" s="13"/>
      <c r="M42" s="14"/>
      <c r="N42" s="12" t="s">
        <v>4</v>
      </c>
      <c r="O42" s="13"/>
      <c r="P42" s="14"/>
      <c r="Q42" s="12" t="s">
        <v>5</v>
      </c>
      <c r="R42" s="13"/>
      <c r="S42" s="14"/>
      <c r="T42" s="12" t="s">
        <v>6</v>
      </c>
      <c r="U42" s="13"/>
      <c r="V42" s="14"/>
      <c r="W42" s="12" t="s">
        <v>7</v>
      </c>
      <c r="X42" s="13"/>
      <c r="Y42" s="14"/>
      <c r="Z42" s="12" t="s">
        <v>8</v>
      </c>
      <c r="AA42" s="13"/>
      <c r="AB42" s="14"/>
      <c r="AC42" s="15" t="s">
        <v>75</v>
      </c>
      <c r="AD42" s="16"/>
      <c r="AE42" s="17"/>
    </row>
    <row r="43" spans="2:31" x14ac:dyDescent="0.5">
      <c r="C43" s="19"/>
      <c r="D43" s="21"/>
      <c r="E43" s="8" t="s">
        <v>9</v>
      </c>
      <c r="F43" s="8" t="s">
        <v>10</v>
      </c>
      <c r="G43" s="8" t="s">
        <v>11</v>
      </c>
      <c r="H43" s="8" t="s">
        <v>9</v>
      </c>
      <c r="I43" s="8" t="s">
        <v>10</v>
      </c>
      <c r="J43" s="8" t="s">
        <v>11</v>
      </c>
      <c r="K43" s="8" t="s">
        <v>9</v>
      </c>
      <c r="L43" s="8" t="s">
        <v>10</v>
      </c>
      <c r="M43" s="8" t="s">
        <v>11</v>
      </c>
      <c r="N43" s="8" t="s">
        <v>9</v>
      </c>
      <c r="O43" s="8" t="s">
        <v>10</v>
      </c>
      <c r="P43" s="8" t="s">
        <v>11</v>
      </c>
      <c r="Q43" s="8" t="s">
        <v>9</v>
      </c>
      <c r="R43" s="8" t="s">
        <v>10</v>
      </c>
      <c r="S43" s="8" t="s">
        <v>11</v>
      </c>
      <c r="T43" s="8" t="s">
        <v>9</v>
      </c>
      <c r="U43" s="8" t="s">
        <v>10</v>
      </c>
      <c r="V43" s="8" t="s">
        <v>11</v>
      </c>
      <c r="W43" s="8" t="s">
        <v>9</v>
      </c>
      <c r="X43" s="8" t="s">
        <v>10</v>
      </c>
      <c r="Y43" s="8" t="s">
        <v>11</v>
      </c>
      <c r="Z43" s="8" t="s">
        <v>9</v>
      </c>
      <c r="AA43" s="8" t="s">
        <v>10</v>
      </c>
      <c r="AB43" s="8" t="s">
        <v>11</v>
      </c>
      <c r="AC43" s="8" t="s">
        <v>12</v>
      </c>
      <c r="AD43" s="8" t="s">
        <v>13</v>
      </c>
      <c r="AE43" s="9" t="s">
        <v>11</v>
      </c>
    </row>
    <row r="44" spans="2:31" x14ac:dyDescent="0.5">
      <c r="C44" s="2" t="s">
        <v>22</v>
      </c>
      <c r="D44" s="3">
        <v>9</v>
      </c>
      <c r="E44" s="4">
        <v>93</v>
      </c>
      <c r="F44" s="4">
        <v>39</v>
      </c>
      <c r="G44" s="4">
        <v>824</v>
      </c>
      <c r="H44" s="4">
        <v>79</v>
      </c>
      <c r="I44" s="4">
        <v>41</v>
      </c>
      <c r="J44" s="4">
        <v>814</v>
      </c>
      <c r="K44" s="4">
        <v>120</v>
      </c>
      <c r="L44" s="4">
        <v>39</v>
      </c>
      <c r="M44" s="4">
        <v>752</v>
      </c>
      <c r="N44" s="4">
        <v>82</v>
      </c>
      <c r="O44" s="4">
        <v>12</v>
      </c>
      <c r="P44" s="4">
        <v>231</v>
      </c>
      <c r="Q44" s="4">
        <v>88</v>
      </c>
      <c r="R44" s="4">
        <v>9</v>
      </c>
      <c r="S44" s="4">
        <v>158</v>
      </c>
      <c r="T44" s="4">
        <v>85</v>
      </c>
      <c r="U44" s="4">
        <v>22</v>
      </c>
      <c r="V44" s="4">
        <v>344</v>
      </c>
      <c r="W44" s="4">
        <v>292</v>
      </c>
      <c r="X44" s="4">
        <v>41</v>
      </c>
      <c r="Y44" s="4">
        <v>829</v>
      </c>
      <c r="Z44" s="4">
        <v>255</v>
      </c>
      <c r="AA44" s="4">
        <v>15</v>
      </c>
      <c r="AB44" s="4">
        <v>214</v>
      </c>
      <c r="AC44" s="4">
        <v>547</v>
      </c>
      <c r="AD44" s="4">
        <v>25</v>
      </c>
      <c r="AE44" s="4">
        <v>466</v>
      </c>
    </row>
    <row r="45" spans="2:31" x14ac:dyDescent="0.5">
      <c r="C45" s="2" t="s">
        <v>22</v>
      </c>
      <c r="D45" s="3">
        <v>9</v>
      </c>
      <c r="E45" s="4">
        <v>93</v>
      </c>
      <c r="F45" s="4">
        <v>39</v>
      </c>
      <c r="G45" s="4">
        <v>824</v>
      </c>
      <c r="H45" s="4">
        <v>79</v>
      </c>
      <c r="I45" s="4">
        <v>41</v>
      </c>
      <c r="J45" s="4">
        <v>814</v>
      </c>
      <c r="K45" s="4">
        <v>120</v>
      </c>
      <c r="L45" s="4">
        <v>39</v>
      </c>
      <c r="M45" s="4">
        <v>752</v>
      </c>
      <c r="N45" s="4">
        <v>82</v>
      </c>
      <c r="O45" s="4">
        <v>12</v>
      </c>
      <c r="P45" s="4">
        <v>231</v>
      </c>
      <c r="Q45" s="4">
        <v>88</v>
      </c>
      <c r="R45" s="4">
        <v>9</v>
      </c>
      <c r="S45" s="4">
        <v>158</v>
      </c>
      <c r="T45" s="4">
        <v>85</v>
      </c>
      <c r="U45" s="4">
        <v>22</v>
      </c>
      <c r="V45" s="4">
        <v>344</v>
      </c>
      <c r="W45" s="4">
        <v>292</v>
      </c>
      <c r="X45" s="4">
        <v>41</v>
      </c>
      <c r="Y45" s="4">
        <v>829</v>
      </c>
      <c r="Z45" s="4">
        <v>255</v>
      </c>
      <c r="AA45" s="4">
        <v>15</v>
      </c>
      <c r="AB45" s="4">
        <v>214</v>
      </c>
      <c r="AC45" s="4">
        <v>547</v>
      </c>
      <c r="AD45" s="4">
        <v>25</v>
      </c>
      <c r="AE45" s="4">
        <v>466</v>
      </c>
    </row>
    <row r="47" spans="2:31" ht="14.1" customHeight="1" x14ac:dyDescent="0.5">
      <c r="B47" t="s">
        <v>85</v>
      </c>
      <c r="C47" s="18" t="s">
        <v>73</v>
      </c>
      <c r="D47" s="20" t="s">
        <v>0</v>
      </c>
      <c r="E47" s="12" t="s">
        <v>1</v>
      </c>
      <c r="F47" s="13"/>
      <c r="G47" s="14"/>
      <c r="H47" s="12" t="s">
        <v>2</v>
      </c>
      <c r="I47" s="13"/>
      <c r="J47" s="14"/>
      <c r="K47" s="12" t="s">
        <v>3</v>
      </c>
      <c r="L47" s="13"/>
      <c r="M47" s="14"/>
      <c r="N47" s="12" t="s">
        <v>4</v>
      </c>
      <c r="O47" s="13"/>
      <c r="P47" s="14"/>
      <c r="Q47" s="12" t="s">
        <v>5</v>
      </c>
      <c r="R47" s="13"/>
      <c r="S47" s="14"/>
      <c r="T47" s="12" t="s">
        <v>6</v>
      </c>
      <c r="U47" s="13"/>
      <c r="V47" s="14"/>
      <c r="W47" s="12" t="s">
        <v>7</v>
      </c>
      <c r="X47" s="13"/>
      <c r="Y47" s="14"/>
      <c r="Z47" s="12" t="s">
        <v>8</v>
      </c>
      <c r="AA47" s="13"/>
      <c r="AB47" s="14"/>
      <c r="AC47" s="15" t="s">
        <v>75</v>
      </c>
      <c r="AD47" s="16"/>
      <c r="AE47" s="17"/>
    </row>
    <row r="48" spans="2:31" x14ac:dyDescent="0.5">
      <c r="C48" s="19"/>
      <c r="D48" s="21"/>
      <c r="E48" s="8" t="s">
        <v>9</v>
      </c>
      <c r="F48" s="8" t="s">
        <v>10</v>
      </c>
      <c r="G48" s="8" t="s">
        <v>11</v>
      </c>
      <c r="H48" s="8" t="s">
        <v>9</v>
      </c>
      <c r="I48" s="8" t="s">
        <v>10</v>
      </c>
      <c r="J48" s="8" t="s">
        <v>11</v>
      </c>
      <c r="K48" s="8" t="s">
        <v>9</v>
      </c>
      <c r="L48" s="8" t="s">
        <v>10</v>
      </c>
      <c r="M48" s="8" t="s">
        <v>11</v>
      </c>
      <c r="N48" s="8" t="s">
        <v>9</v>
      </c>
      <c r="O48" s="8" t="s">
        <v>10</v>
      </c>
      <c r="P48" s="8" t="s">
        <v>11</v>
      </c>
      <c r="Q48" s="8" t="s">
        <v>9</v>
      </c>
      <c r="R48" s="8" t="s">
        <v>10</v>
      </c>
      <c r="S48" s="8" t="s">
        <v>11</v>
      </c>
      <c r="T48" s="8" t="s">
        <v>9</v>
      </c>
      <c r="U48" s="8" t="s">
        <v>10</v>
      </c>
      <c r="V48" s="8" t="s">
        <v>11</v>
      </c>
      <c r="W48" s="8" t="s">
        <v>9</v>
      </c>
      <c r="X48" s="8" t="s">
        <v>10</v>
      </c>
      <c r="Y48" s="8" t="s">
        <v>11</v>
      </c>
      <c r="Z48" s="8" t="s">
        <v>9</v>
      </c>
      <c r="AA48" s="8" t="s">
        <v>10</v>
      </c>
      <c r="AB48" s="8" t="s">
        <v>11</v>
      </c>
      <c r="AC48" s="8" t="s">
        <v>12</v>
      </c>
      <c r="AD48" s="8" t="s">
        <v>13</v>
      </c>
      <c r="AE48" s="9" t="s">
        <v>11</v>
      </c>
    </row>
    <row r="49" spans="2:31" x14ac:dyDescent="0.5">
      <c r="C49" s="2" t="s">
        <v>23</v>
      </c>
      <c r="D49" s="3">
        <v>10</v>
      </c>
      <c r="E49" s="4">
        <v>105</v>
      </c>
      <c r="F49" s="4">
        <v>16</v>
      </c>
      <c r="G49" s="4">
        <v>307</v>
      </c>
      <c r="H49" s="4">
        <v>74</v>
      </c>
      <c r="I49" s="4">
        <v>46</v>
      </c>
      <c r="J49" s="4">
        <v>916</v>
      </c>
      <c r="K49" s="4">
        <v>114.5</v>
      </c>
      <c r="L49" s="4">
        <v>45</v>
      </c>
      <c r="M49" s="4">
        <v>933</v>
      </c>
      <c r="N49" s="4">
        <v>77</v>
      </c>
      <c r="O49" s="4">
        <v>16</v>
      </c>
      <c r="P49" s="4">
        <v>305</v>
      </c>
      <c r="Q49" s="4">
        <v>68</v>
      </c>
      <c r="R49" s="4">
        <v>45</v>
      </c>
      <c r="S49" s="4">
        <v>803</v>
      </c>
      <c r="T49" s="4">
        <v>80</v>
      </c>
      <c r="U49" s="4">
        <v>33</v>
      </c>
      <c r="V49" s="4">
        <v>497</v>
      </c>
      <c r="W49" s="4">
        <v>293.5</v>
      </c>
      <c r="X49" s="4">
        <v>39</v>
      </c>
      <c r="Y49" s="4">
        <v>810</v>
      </c>
      <c r="Z49" s="4">
        <v>225</v>
      </c>
      <c r="AA49" s="4">
        <v>26</v>
      </c>
      <c r="AB49" s="4">
        <v>485</v>
      </c>
      <c r="AC49" s="4">
        <v>518.5</v>
      </c>
      <c r="AD49" s="4">
        <v>35</v>
      </c>
      <c r="AE49" s="4">
        <v>624</v>
      </c>
    </row>
    <row r="50" spans="2:31" x14ac:dyDescent="0.5">
      <c r="C50" s="2" t="s">
        <v>23</v>
      </c>
      <c r="D50" s="3">
        <v>10</v>
      </c>
      <c r="E50" s="4">
        <v>105</v>
      </c>
      <c r="F50" s="4">
        <v>16</v>
      </c>
      <c r="G50" s="4">
        <v>307</v>
      </c>
      <c r="H50" s="4">
        <v>74</v>
      </c>
      <c r="I50" s="4">
        <v>46</v>
      </c>
      <c r="J50" s="4">
        <v>916</v>
      </c>
      <c r="K50" s="4">
        <v>114.5</v>
      </c>
      <c r="L50" s="4">
        <v>45</v>
      </c>
      <c r="M50" s="4">
        <v>933</v>
      </c>
      <c r="N50" s="4">
        <v>77</v>
      </c>
      <c r="O50" s="4">
        <v>16</v>
      </c>
      <c r="P50" s="4">
        <v>305</v>
      </c>
      <c r="Q50" s="4">
        <v>68</v>
      </c>
      <c r="R50" s="4">
        <v>45</v>
      </c>
      <c r="S50" s="4">
        <v>803</v>
      </c>
      <c r="T50" s="4">
        <v>80</v>
      </c>
      <c r="U50" s="4">
        <v>33</v>
      </c>
      <c r="V50" s="4">
        <v>497</v>
      </c>
      <c r="W50" s="4">
        <v>293.5</v>
      </c>
      <c r="X50" s="4">
        <v>39</v>
      </c>
      <c r="Y50" s="4">
        <v>810</v>
      </c>
      <c r="Z50" s="4">
        <v>225</v>
      </c>
      <c r="AA50" s="4">
        <v>26</v>
      </c>
      <c r="AB50" s="4">
        <v>485</v>
      </c>
      <c r="AC50" s="4">
        <v>518.5</v>
      </c>
      <c r="AD50" s="4">
        <v>35</v>
      </c>
      <c r="AE50" s="4">
        <v>624</v>
      </c>
    </row>
    <row r="52" spans="2:31" ht="14.1" customHeight="1" x14ac:dyDescent="0.5">
      <c r="B52" t="s">
        <v>85</v>
      </c>
      <c r="C52" s="18" t="s">
        <v>73</v>
      </c>
      <c r="D52" s="20" t="s">
        <v>0</v>
      </c>
      <c r="E52" s="12" t="s">
        <v>1</v>
      </c>
      <c r="F52" s="13"/>
      <c r="G52" s="14"/>
      <c r="H52" s="12" t="s">
        <v>2</v>
      </c>
      <c r="I52" s="13"/>
      <c r="J52" s="14"/>
      <c r="K52" s="12" t="s">
        <v>3</v>
      </c>
      <c r="L52" s="13"/>
      <c r="M52" s="14"/>
      <c r="N52" s="12" t="s">
        <v>4</v>
      </c>
      <c r="O52" s="13"/>
      <c r="P52" s="14"/>
      <c r="Q52" s="12" t="s">
        <v>5</v>
      </c>
      <c r="R52" s="13"/>
      <c r="S52" s="14"/>
      <c r="T52" s="12" t="s">
        <v>6</v>
      </c>
      <c r="U52" s="13"/>
      <c r="V52" s="14"/>
      <c r="W52" s="12" t="s">
        <v>7</v>
      </c>
      <c r="X52" s="13"/>
      <c r="Y52" s="14"/>
      <c r="Z52" s="12" t="s">
        <v>8</v>
      </c>
      <c r="AA52" s="13"/>
      <c r="AB52" s="14"/>
      <c r="AC52" s="15" t="s">
        <v>75</v>
      </c>
      <c r="AD52" s="16"/>
      <c r="AE52" s="17"/>
    </row>
    <row r="53" spans="2:31" x14ac:dyDescent="0.5">
      <c r="C53" s="19"/>
      <c r="D53" s="21"/>
      <c r="E53" s="8" t="s">
        <v>9</v>
      </c>
      <c r="F53" s="8" t="s">
        <v>10</v>
      </c>
      <c r="G53" s="8" t="s">
        <v>11</v>
      </c>
      <c r="H53" s="8" t="s">
        <v>9</v>
      </c>
      <c r="I53" s="8" t="s">
        <v>10</v>
      </c>
      <c r="J53" s="8" t="s">
        <v>11</v>
      </c>
      <c r="K53" s="8" t="s">
        <v>9</v>
      </c>
      <c r="L53" s="8" t="s">
        <v>10</v>
      </c>
      <c r="M53" s="8" t="s">
        <v>11</v>
      </c>
      <c r="N53" s="8" t="s">
        <v>9</v>
      </c>
      <c r="O53" s="8" t="s">
        <v>10</v>
      </c>
      <c r="P53" s="8" t="s">
        <v>11</v>
      </c>
      <c r="Q53" s="8" t="s">
        <v>9</v>
      </c>
      <c r="R53" s="8" t="s">
        <v>10</v>
      </c>
      <c r="S53" s="8" t="s">
        <v>11</v>
      </c>
      <c r="T53" s="8" t="s">
        <v>9</v>
      </c>
      <c r="U53" s="8" t="s">
        <v>10</v>
      </c>
      <c r="V53" s="8" t="s">
        <v>11</v>
      </c>
      <c r="W53" s="8" t="s">
        <v>9</v>
      </c>
      <c r="X53" s="8" t="s">
        <v>10</v>
      </c>
      <c r="Y53" s="8" t="s">
        <v>11</v>
      </c>
      <c r="Z53" s="8" t="s">
        <v>9</v>
      </c>
      <c r="AA53" s="8" t="s">
        <v>10</v>
      </c>
      <c r="AB53" s="8" t="s">
        <v>11</v>
      </c>
      <c r="AC53" s="8" t="s">
        <v>12</v>
      </c>
      <c r="AD53" s="8" t="s">
        <v>13</v>
      </c>
      <c r="AE53" s="9" t="s">
        <v>11</v>
      </c>
    </row>
    <row r="54" spans="2:31" x14ac:dyDescent="0.5">
      <c r="C54" s="2" t="s">
        <v>24</v>
      </c>
      <c r="D54" s="3">
        <v>11</v>
      </c>
      <c r="E54" s="4">
        <v>98</v>
      </c>
      <c r="F54" s="4">
        <v>28</v>
      </c>
      <c r="G54" s="4">
        <v>604</v>
      </c>
      <c r="H54" s="4">
        <v>90</v>
      </c>
      <c r="I54" s="4">
        <v>29</v>
      </c>
      <c r="J54" s="4">
        <v>594</v>
      </c>
      <c r="K54" s="4">
        <v>99.5</v>
      </c>
      <c r="L54" s="4">
        <v>58</v>
      </c>
      <c r="M54" s="4">
        <v>1248</v>
      </c>
      <c r="N54" s="4">
        <v>50</v>
      </c>
      <c r="O54" s="4">
        <v>42</v>
      </c>
      <c r="P54" s="4">
        <v>902</v>
      </c>
      <c r="Q54" s="4">
        <v>70</v>
      </c>
      <c r="R54" s="4">
        <v>41</v>
      </c>
      <c r="S54" s="4">
        <v>743</v>
      </c>
      <c r="T54" s="4">
        <v>63</v>
      </c>
      <c r="U54" s="4">
        <v>54</v>
      </c>
      <c r="V54" s="4">
        <v>1012</v>
      </c>
      <c r="W54" s="4">
        <v>287.5</v>
      </c>
      <c r="X54" s="4">
        <v>44</v>
      </c>
      <c r="Y54" s="4">
        <v>884</v>
      </c>
      <c r="Z54" s="4">
        <v>183</v>
      </c>
      <c r="AA54" s="4">
        <v>47</v>
      </c>
      <c r="AB54" s="4">
        <v>907</v>
      </c>
      <c r="AC54" s="4">
        <v>470.5</v>
      </c>
      <c r="AD54" s="4">
        <v>47</v>
      </c>
      <c r="AE54" s="4">
        <v>902</v>
      </c>
    </row>
    <row r="55" spans="2:31" x14ac:dyDescent="0.5">
      <c r="C55" s="2" t="s">
        <v>24</v>
      </c>
      <c r="D55" s="3">
        <v>11</v>
      </c>
      <c r="E55" s="4">
        <v>98</v>
      </c>
      <c r="F55" s="4">
        <v>28</v>
      </c>
      <c r="G55" s="4">
        <v>604</v>
      </c>
      <c r="H55" s="4">
        <v>90</v>
      </c>
      <c r="I55" s="4">
        <v>29</v>
      </c>
      <c r="J55" s="4">
        <v>594</v>
      </c>
      <c r="K55" s="4">
        <v>99.5</v>
      </c>
      <c r="L55" s="4">
        <v>58</v>
      </c>
      <c r="M55" s="4">
        <v>1248</v>
      </c>
      <c r="N55" s="4">
        <v>50</v>
      </c>
      <c r="O55" s="4">
        <v>42</v>
      </c>
      <c r="P55" s="4">
        <v>902</v>
      </c>
      <c r="Q55" s="4">
        <v>70</v>
      </c>
      <c r="R55" s="4">
        <v>41</v>
      </c>
      <c r="S55" s="4">
        <v>743</v>
      </c>
      <c r="T55" s="4">
        <v>63</v>
      </c>
      <c r="U55" s="4">
        <v>54</v>
      </c>
      <c r="V55" s="4">
        <v>1012</v>
      </c>
      <c r="W55" s="4">
        <v>287.5</v>
      </c>
      <c r="X55" s="4">
        <v>44</v>
      </c>
      <c r="Y55" s="4">
        <v>884</v>
      </c>
      <c r="Z55" s="4">
        <v>183</v>
      </c>
      <c r="AA55" s="4">
        <v>47</v>
      </c>
      <c r="AB55" s="4">
        <v>907</v>
      </c>
      <c r="AC55" s="4">
        <v>470.5</v>
      </c>
      <c r="AD55" s="4">
        <v>47</v>
      </c>
      <c r="AE55" s="4">
        <v>902</v>
      </c>
    </row>
    <row r="57" spans="2:31" ht="14.1" customHeight="1" x14ac:dyDescent="0.5">
      <c r="B57" t="s">
        <v>85</v>
      </c>
      <c r="C57" s="18" t="s">
        <v>73</v>
      </c>
      <c r="D57" s="20" t="s">
        <v>0</v>
      </c>
      <c r="E57" s="12" t="s">
        <v>1</v>
      </c>
      <c r="F57" s="13"/>
      <c r="G57" s="14"/>
      <c r="H57" s="12" t="s">
        <v>2</v>
      </c>
      <c r="I57" s="13"/>
      <c r="J57" s="14"/>
      <c r="K57" s="12" t="s">
        <v>3</v>
      </c>
      <c r="L57" s="13"/>
      <c r="M57" s="14"/>
      <c r="N57" s="12" t="s">
        <v>4</v>
      </c>
      <c r="O57" s="13"/>
      <c r="P57" s="14"/>
      <c r="Q57" s="12" t="s">
        <v>5</v>
      </c>
      <c r="R57" s="13"/>
      <c r="S57" s="14"/>
      <c r="T57" s="12" t="s">
        <v>6</v>
      </c>
      <c r="U57" s="13"/>
      <c r="V57" s="14"/>
      <c r="W57" s="12" t="s">
        <v>7</v>
      </c>
      <c r="X57" s="13"/>
      <c r="Y57" s="14"/>
      <c r="Z57" s="12" t="s">
        <v>8</v>
      </c>
      <c r="AA57" s="13"/>
      <c r="AB57" s="14"/>
      <c r="AC57" s="15" t="s">
        <v>75</v>
      </c>
      <c r="AD57" s="16"/>
      <c r="AE57" s="17"/>
    </row>
    <row r="58" spans="2:31" x14ac:dyDescent="0.5">
      <c r="C58" s="19"/>
      <c r="D58" s="21"/>
      <c r="E58" s="8" t="s">
        <v>9</v>
      </c>
      <c r="F58" s="8" t="s">
        <v>10</v>
      </c>
      <c r="G58" s="8" t="s">
        <v>11</v>
      </c>
      <c r="H58" s="8" t="s">
        <v>9</v>
      </c>
      <c r="I58" s="8" t="s">
        <v>10</v>
      </c>
      <c r="J58" s="8" t="s">
        <v>11</v>
      </c>
      <c r="K58" s="8" t="s">
        <v>9</v>
      </c>
      <c r="L58" s="8" t="s">
        <v>10</v>
      </c>
      <c r="M58" s="8" t="s">
        <v>11</v>
      </c>
      <c r="N58" s="8" t="s">
        <v>9</v>
      </c>
      <c r="O58" s="8" t="s">
        <v>10</v>
      </c>
      <c r="P58" s="8" t="s">
        <v>11</v>
      </c>
      <c r="Q58" s="8" t="s">
        <v>9</v>
      </c>
      <c r="R58" s="8" t="s">
        <v>10</v>
      </c>
      <c r="S58" s="8" t="s">
        <v>11</v>
      </c>
      <c r="T58" s="8" t="s">
        <v>9</v>
      </c>
      <c r="U58" s="8" t="s">
        <v>10</v>
      </c>
      <c r="V58" s="8" t="s">
        <v>11</v>
      </c>
      <c r="W58" s="8" t="s">
        <v>9</v>
      </c>
      <c r="X58" s="8" t="s">
        <v>10</v>
      </c>
      <c r="Y58" s="8" t="s">
        <v>11</v>
      </c>
      <c r="Z58" s="8" t="s">
        <v>9</v>
      </c>
      <c r="AA58" s="8" t="s">
        <v>10</v>
      </c>
      <c r="AB58" s="8" t="s">
        <v>11</v>
      </c>
      <c r="AC58" s="8" t="s">
        <v>12</v>
      </c>
      <c r="AD58" s="8" t="s">
        <v>13</v>
      </c>
      <c r="AE58" s="9" t="s">
        <v>11</v>
      </c>
    </row>
    <row r="59" spans="2:31" x14ac:dyDescent="0.5">
      <c r="C59" s="2" t="s">
        <v>25</v>
      </c>
      <c r="D59" s="3">
        <v>12</v>
      </c>
      <c r="E59" s="4">
        <v>99</v>
      </c>
      <c r="F59" s="4">
        <v>27</v>
      </c>
      <c r="G59" s="4">
        <v>548</v>
      </c>
      <c r="H59" s="4">
        <v>76</v>
      </c>
      <c r="I59" s="4">
        <v>45</v>
      </c>
      <c r="J59" s="4">
        <v>882</v>
      </c>
      <c r="K59" s="4">
        <v>124.5</v>
      </c>
      <c r="L59" s="4">
        <v>33</v>
      </c>
      <c r="M59" s="4">
        <v>578</v>
      </c>
      <c r="N59" s="4">
        <v>43</v>
      </c>
      <c r="O59" s="4">
        <v>49</v>
      </c>
      <c r="P59" s="4">
        <v>1046</v>
      </c>
      <c r="Q59" s="4">
        <v>56</v>
      </c>
      <c r="R59" s="4">
        <v>56</v>
      </c>
      <c r="S59" s="4">
        <v>1107</v>
      </c>
      <c r="T59" s="4">
        <v>51</v>
      </c>
      <c r="U59" s="4">
        <v>58</v>
      </c>
      <c r="V59" s="4">
        <v>1254</v>
      </c>
      <c r="W59" s="4">
        <v>299.5</v>
      </c>
      <c r="X59" s="4">
        <v>36</v>
      </c>
      <c r="Y59" s="4">
        <v>720</v>
      </c>
      <c r="Z59" s="4">
        <v>150</v>
      </c>
      <c r="AA59" s="4">
        <v>58</v>
      </c>
      <c r="AB59" s="4">
        <v>1184</v>
      </c>
      <c r="AC59" s="4">
        <v>449.5</v>
      </c>
      <c r="AD59" s="4">
        <v>51</v>
      </c>
      <c r="AE59" s="4">
        <v>1015</v>
      </c>
    </row>
    <row r="60" spans="2:31" x14ac:dyDescent="0.5">
      <c r="C60" s="2" t="s">
        <v>25</v>
      </c>
      <c r="D60" s="3">
        <v>12</v>
      </c>
      <c r="E60" s="4">
        <v>99</v>
      </c>
      <c r="F60" s="4">
        <v>27</v>
      </c>
      <c r="G60" s="4">
        <v>548</v>
      </c>
      <c r="H60" s="4">
        <v>76</v>
      </c>
      <c r="I60" s="4">
        <v>45</v>
      </c>
      <c r="J60" s="4">
        <v>882</v>
      </c>
      <c r="K60" s="4">
        <v>124.5</v>
      </c>
      <c r="L60" s="4">
        <v>33</v>
      </c>
      <c r="M60" s="4">
        <v>578</v>
      </c>
      <c r="N60" s="4">
        <v>43</v>
      </c>
      <c r="O60" s="4">
        <v>49</v>
      </c>
      <c r="P60" s="4">
        <v>1046</v>
      </c>
      <c r="Q60" s="4">
        <v>56</v>
      </c>
      <c r="R60" s="4">
        <v>56</v>
      </c>
      <c r="S60" s="4">
        <v>1107</v>
      </c>
      <c r="T60" s="4">
        <v>51</v>
      </c>
      <c r="U60" s="4">
        <v>58</v>
      </c>
      <c r="V60" s="4">
        <v>1254</v>
      </c>
      <c r="W60" s="4">
        <v>299.5</v>
      </c>
      <c r="X60" s="4">
        <v>36</v>
      </c>
      <c r="Y60" s="4">
        <v>720</v>
      </c>
      <c r="Z60" s="4">
        <v>150</v>
      </c>
      <c r="AA60" s="4">
        <v>58</v>
      </c>
      <c r="AB60" s="4">
        <v>1184</v>
      </c>
      <c r="AC60" s="4">
        <v>449.5</v>
      </c>
      <c r="AD60" s="4">
        <v>51</v>
      </c>
      <c r="AE60" s="4">
        <v>1015</v>
      </c>
    </row>
    <row r="62" spans="2:31" ht="14.1" customHeight="1" x14ac:dyDescent="0.5">
      <c r="B62" t="s">
        <v>85</v>
      </c>
      <c r="C62" s="18" t="s">
        <v>73</v>
      </c>
      <c r="D62" s="20" t="s">
        <v>0</v>
      </c>
      <c r="E62" s="12" t="s">
        <v>1</v>
      </c>
      <c r="F62" s="13"/>
      <c r="G62" s="14"/>
      <c r="H62" s="12" t="s">
        <v>2</v>
      </c>
      <c r="I62" s="13"/>
      <c r="J62" s="14"/>
      <c r="K62" s="12" t="s">
        <v>3</v>
      </c>
      <c r="L62" s="13"/>
      <c r="M62" s="14"/>
      <c r="N62" s="12" t="s">
        <v>4</v>
      </c>
      <c r="O62" s="13"/>
      <c r="P62" s="14"/>
      <c r="Q62" s="12" t="s">
        <v>5</v>
      </c>
      <c r="R62" s="13"/>
      <c r="S62" s="14"/>
      <c r="T62" s="12" t="s">
        <v>6</v>
      </c>
      <c r="U62" s="13"/>
      <c r="V62" s="14"/>
      <c r="W62" s="12" t="s">
        <v>7</v>
      </c>
      <c r="X62" s="13"/>
      <c r="Y62" s="14"/>
      <c r="Z62" s="12" t="s">
        <v>8</v>
      </c>
      <c r="AA62" s="13"/>
      <c r="AB62" s="14"/>
      <c r="AC62" s="15" t="s">
        <v>75</v>
      </c>
      <c r="AD62" s="16"/>
      <c r="AE62" s="17"/>
    </row>
    <row r="63" spans="2:31" x14ac:dyDescent="0.5">
      <c r="C63" s="19"/>
      <c r="D63" s="21"/>
      <c r="E63" s="8" t="s">
        <v>9</v>
      </c>
      <c r="F63" s="8" t="s">
        <v>10</v>
      </c>
      <c r="G63" s="8" t="s">
        <v>11</v>
      </c>
      <c r="H63" s="8" t="s">
        <v>9</v>
      </c>
      <c r="I63" s="8" t="s">
        <v>10</v>
      </c>
      <c r="J63" s="8" t="s">
        <v>11</v>
      </c>
      <c r="K63" s="8" t="s">
        <v>9</v>
      </c>
      <c r="L63" s="8" t="s">
        <v>10</v>
      </c>
      <c r="M63" s="8" t="s">
        <v>11</v>
      </c>
      <c r="N63" s="8" t="s">
        <v>9</v>
      </c>
      <c r="O63" s="8" t="s">
        <v>10</v>
      </c>
      <c r="P63" s="8" t="s">
        <v>11</v>
      </c>
      <c r="Q63" s="8" t="s">
        <v>9</v>
      </c>
      <c r="R63" s="8" t="s">
        <v>10</v>
      </c>
      <c r="S63" s="8" t="s">
        <v>11</v>
      </c>
      <c r="T63" s="8" t="s">
        <v>9</v>
      </c>
      <c r="U63" s="8" t="s">
        <v>10</v>
      </c>
      <c r="V63" s="8" t="s">
        <v>11</v>
      </c>
      <c r="W63" s="8" t="s">
        <v>9</v>
      </c>
      <c r="X63" s="8" t="s">
        <v>10</v>
      </c>
      <c r="Y63" s="8" t="s">
        <v>11</v>
      </c>
      <c r="Z63" s="8" t="s">
        <v>9</v>
      </c>
      <c r="AA63" s="8" t="s">
        <v>10</v>
      </c>
      <c r="AB63" s="8" t="s">
        <v>11</v>
      </c>
      <c r="AC63" s="8" t="s">
        <v>12</v>
      </c>
      <c r="AD63" s="8" t="s">
        <v>13</v>
      </c>
      <c r="AE63" s="9" t="s">
        <v>11</v>
      </c>
    </row>
    <row r="64" spans="2:31" x14ac:dyDescent="0.5">
      <c r="C64" s="2" t="s">
        <v>26</v>
      </c>
      <c r="D64" s="3">
        <v>13</v>
      </c>
      <c r="E64" s="4">
        <v>98</v>
      </c>
      <c r="F64" s="4">
        <v>28</v>
      </c>
      <c r="G64" s="4">
        <v>604</v>
      </c>
      <c r="H64" s="4">
        <v>123</v>
      </c>
      <c r="I64" s="4">
        <v>4</v>
      </c>
      <c r="J64" s="4">
        <v>81</v>
      </c>
      <c r="K64" s="4">
        <v>127.5</v>
      </c>
      <c r="L64" s="4">
        <v>24</v>
      </c>
      <c r="M64" s="4">
        <v>473</v>
      </c>
      <c r="N64" s="4">
        <v>108</v>
      </c>
      <c r="O64" s="4">
        <v>1</v>
      </c>
      <c r="P64" s="4">
        <v>1</v>
      </c>
      <c r="Q64" s="4">
        <v>94</v>
      </c>
      <c r="R64" s="4">
        <v>4</v>
      </c>
      <c r="S64" s="4">
        <v>27</v>
      </c>
      <c r="T64" s="4">
        <v>89</v>
      </c>
      <c r="U64" s="4">
        <v>13</v>
      </c>
      <c r="V64" s="4">
        <v>191</v>
      </c>
      <c r="W64" s="4">
        <v>348.5</v>
      </c>
      <c r="X64" s="4">
        <v>4</v>
      </c>
      <c r="Y64" s="4">
        <v>160</v>
      </c>
      <c r="Z64" s="4">
        <v>291</v>
      </c>
      <c r="AA64" s="4">
        <v>2</v>
      </c>
      <c r="AB64" s="4">
        <v>10</v>
      </c>
      <c r="AC64" s="4">
        <v>639.5</v>
      </c>
      <c r="AD64" s="4">
        <v>2</v>
      </c>
      <c r="AE64" s="4">
        <v>57</v>
      </c>
    </row>
    <row r="65" spans="2:31" x14ac:dyDescent="0.5">
      <c r="C65" s="2" t="s">
        <v>26</v>
      </c>
      <c r="D65" s="3">
        <v>13</v>
      </c>
      <c r="E65" s="4">
        <v>98</v>
      </c>
      <c r="F65" s="4">
        <v>28</v>
      </c>
      <c r="G65" s="4">
        <v>604</v>
      </c>
      <c r="H65" s="4">
        <v>123</v>
      </c>
      <c r="I65" s="4">
        <v>4</v>
      </c>
      <c r="J65" s="4">
        <v>81</v>
      </c>
      <c r="K65" s="4">
        <v>127.5</v>
      </c>
      <c r="L65" s="4">
        <v>24</v>
      </c>
      <c r="M65" s="4">
        <v>473</v>
      </c>
      <c r="N65" s="4">
        <v>108</v>
      </c>
      <c r="O65" s="4">
        <v>1</v>
      </c>
      <c r="P65" s="4">
        <v>1</v>
      </c>
      <c r="Q65" s="4">
        <v>94</v>
      </c>
      <c r="R65" s="4">
        <v>4</v>
      </c>
      <c r="S65" s="4">
        <v>27</v>
      </c>
      <c r="T65" s="4">
        <v>89</v>
      </c>
      <c r="U65" s="4">
        <v>13</v>
      </c>
      <c r="V65" s="4">
        <v>191</v>
      </c>
      <c r="W65" s="4">
        <v>348.5</v>
      </c>
      <c r="X65" s="4">
        <v>4</v>
      </c>
      <c r="Y65" s="4">
        <v>160</v>
      </c>
      <c r="Z65" s="4">
        <v>291</v>
      </c>
      <c r="AA65" s="4">
        <v>2</v>
      </c>
      <c r="AB65" s="4">
        <v>10</v>
      </c>
      <c r="AC65" s="4">
        <v>639.5</v>
      </c>
      <c r="AD65" s="4">
        <v>2</v>
      </c>
      <c r="AE65" s="4">
        <v>57</v>
      </c>
    </row>
    <row r="67" spans="2:31" ht="14.1" customHeight="1" x14ac:dyDescent="0.5">
      <c r="B67" t="s">
        <v>85</v>
      </c>
      <c r="C67" s="18" t="s">
        <v>73</v>
      </c>
      <c r="D67" s="20" t="s">
        <v>0</v>
      </c>
      <c r="E67" s="12" t="s">
        <v>1</v>
      </c>
      <c r="F67" s="13"/>
      <c r="G67" s="14"/>
      <c r="H67" s="12" t="s">
        <v>2</v>
      </c>
      <c r="I67" s="13"/>
      <c r="J67" s="14"/>
      <c r="K67" s="12" t="s">
        <v>3</v>
      </c>
      <c r="L67" s="13"/>
      <c r="M67" s="14"/>
      <c r="N67" s="12" t="s">
        <v>4</v>
      </c>
      <c r="O67" s="13"/>
      <c r="P67" s="14"/>
      <c r="Q67" s="12" t="s">
        <v>5</v>
      </c>
      <c r="R67" s="13"/>
      <c r="S67" s="14"/>
      <c r="T67" s="12" t="s">
        <v>6</v>
      </c>
      <c r="U67" s="13"/>
      <c r="V67" s="14"/>
      <c r="W67" s="12" t="s">
        <v>7</v>
      </c>
      <c r="X67" s="13"/>
      <c r="Y67" s="14"/>
      <c r="Z67" s="12" t="s">
        <v>8</v>
      </c>
      <c r="AA67" s="13"/>
      <c r="AB67" s="14"/>
      <c r="AC67" s="15" t="s">
        <v>75</v>
      </c>
      <c r="AD67" s="16"/>
      <c r="AE67" s="17"/>
    </row>
    <row r="68" spans="2:31" x14ac:dyDescent="0.5">
      <c r="C68" s="19"/>
      <c r="D68" s="21"/>
      <c r="E68" s="8" t="s">
        <v>9</v>
      </c>
      <c r="F68" s="8" t="s">
        <v>10</v>
      </c>
      <c r="G68" s="8" t="s">
        <v>11</v>
      </c>
      <c r="H68" s="8" t="s">
        <v>9</v>
      </c>
      <c r="I68" s="8" t="s">
        <v>10</v>
      </c>
      <c r="J68" s="8" t="s">
        <v>11</v>
      </c>
      <c r="K68" s="8" t="s">
        <v>9</v>
      </c>
      <c r="L68" s="8" t="s">
        <v>10</v>
      </c>
      <c r="M68" s="8" t="s">
        <v>11</v>
      </c>
      <c r="N68" s="8" t="s">
        <v>9</v>
      </c>
      <c r="O68" s="8" t="s">
        <v>10</v>
      </c>
      <c r="P68" s="8" t="s">
        <v>11</v>
      </c>
      <c r="Q68" s="8" t="s">
        <v>9</v>
      </c>
      <c r="R68" s="8" t="s">
        <v>10</v>
      </c>
      <c r="S68" s="8" t="s">
        <v>11</v>
      </c>
      <c r="T68" s="8" t="s">
        <v>9</v>
      </c>
      <c r="U68" s="8" t="s">
        <v>10</v>
      </c>
      <c r="V68" s="8" t="s">
        <v>11</v>
      </c>
      <c r="W68" s="8" t="s">
        <v>9</v>
      </c>
      <c r="X68" s="8" t="s">
        <v>10</v>
      </c>
      <c r="Y68" s="8" t="s">
        <v>11</v>
      </c>
      <c r="Z68" s="8" t="s">
        <v>9</v>
      </c>
      <c r="AA68" s="8" t="s">
        <v>10</v>
      </c>
      <c r="AB68" s="8" t="s">
        <v>11</v>
      </c>
      <c r="AC68" s="8" t="s">
        <v>12</v>
      </c>
      <c r="AD68" s="8" t="s">
        <v>13</v>
      </c>
      <c r="AE68" s="9" t="s">
        <v>11</v>
      </c>
    </row>
    <row r="69" spans="2:31" x14ac:dyDescent="0.5">
      <c r="C69" s="2" t="s">
        <v>27</v>
      </c>
      <c r="D69" s="3">
        <v>14</v>
      </c>
      <c r="E69" s="4">
        <v>104</v>
      </c>
      <c r="F69" s="4">
        <v>20</v>
      </c>
      <c r="G69" s="4">
        <v>339</v>
      </c>
      <c r="H69" s="4">
        <v>130</v>
      </c>
      <c r="I69" s="4">
        <v>2</v>
      </c>
      <c r="J69" s="4">
        <v>42</v>
      </c>
      <c r="K69" s="4">
        <v>125</v>
      </c>
      <c r="L69" s="4">
        <v>30</v>
      </c>
      <c r="M69" s="4">
        <v>555</v>
      </c>
      <c r="N69" s="4">
        <v>88</v>
      </c>
      <c r="O69" s="4">
        <v>8</v>
      </c>
      <c r="P69" s="4">
        <v>147</v>
      </c>
      <c r="Q69" s="4">
        <v>98</v>
      </c>
      <c r="R69" s="4">
        <v>1</v>
      </c>
      <c r="S69" s="4">
        <v>5</v>
      </c>
      <c r="T69" s="4">
        <v>91</v>
      </c>
      <c r="U69" s="4">
        <v>8</v>
      </c>
      <c r="V69" s="4">
        <v>128</v>
      </c>
      <c r="W69" s="4">
        <v>359</v>
      </c>
      <c r="X69" s="4">
        <v>3</v>
      </c>
      <c r="Y69" s="4">
        <v>101</v>
      </c>
      <c r="Z69" s="4">
        <v>277</v>
      </c>
      <c r="AA69" s="4">
        <v>5</v>
      </c>
      <c r="AB69" s="4">
        <v>60</v>
      </c>
      <c r="AC69" s="4">
        <v>636</v>
      </c>
      <c r="AD69" s="4">
        <v>3</v>
      </c>
      <c r="AE69" s="4">
        <v>66</v>
      </c>
    </row>
    <row r="70" spans="2:31" x14ac:dyDescent="0.5">
      <c r="C70" s="2" t="s">
        <v>27</v>
      </c>
      <c r="D70" s="3">
        <v>14</v>
      </c>
      <c r="E70" s="4">
        <v>104</v>
      </c>
      <c r="F70" s="4">
        <v>20</v>
      </c>
      <c r="G70" s="4">
        <v>339</v>
      </c>
      <c r="H70" s="4">
        <v>130</v>
      </c>
      <c r="I70" s="4">
        <v>2</v>
      </c>
      <c r="J70" s="4">
        <v>42</v>
      </c>
      <c r="K70" s="4">
        <v>125</v>
      </c>
      <c r="L70" s="4">
        <v>30</v>
      </c>
      <c r="M70" s="4">
        <v>555</v>
      </c>
      <c r="N70" s="4">
        <v>88</v>
      </c>
      <c r="O70" s="4">
        <v>8</v>
      </c>
      <c r="P70" s="4">
        <v>147</v>
      </c>
      <c r="Q70" s="4">
        <v>98</v>
      </c>
      <c r="R70" s="4">
        <v>1</v>
      </c>
      <c r="S70" s="4">
        <v>5</v>
      </c>
      <c r="T70" s="4">
        <v>91</v>
      </c>
      <c r="U70" s="4">
        <v>8</v>
      </c>
      <c r="V70" s="4">
        <v>128</v>
      </c>
      <c r="W70" s="4">
        <v>359</v>
      </c>
      <c r="X70" s="4">
        <v>3</v>
      </c>
      <c r="Y70" s="4">
        <v>101</v>
      </c>
      <c r="Z70" s="4">
        <v>277</v>
      </c>
      <c r="AA70" s="4">
        <v>5</v>
      </c>
      <c r="AB70" s="4">
        <v>60</v>
      </c>
      <c r="AC70" s="4">
        <v>636</v>
      </c>
      <c r="AD70" s="4">
        <v>3</v>
      </c>
      <c r="AE70" s="4">
        <v>66</v>
      </c>
    </row>
    <row r="72" spans="2:31" ht="14.1" customHeight="1" x14ac:dyDescent="0.5">
      <c r="B72" t="s">
        <v>85</v>
      </c>
      <c r="C72" s="18" t="s">
        <v>73</v>
      </c>
      <c r="D72" s="20" t="s">
        <v>0</v>
      </c>
      <c r="E72" s="12" t="s">
        <v>1</v>
      </c>
      <c r="F72" s="13"/>
      <c r="G72" s="14"/>
      <c r="H72" s="12" t="s">
        <v>2</v>
      </c>
      <c r="I72" s="13"/>
      <c r="J72" s="14"/>
      <c r="K72" s="12" t="s">
        <v>3</v>
      </c>
      <c r="L72" s="13"/>
      <c r="M72" s="14"/>
      <c r="N72" s="12" t="s">
        <v>4</v>
      </c>
      <c r="O72" s="13"/>
      <c r="P72" s="14"/>
      <c r="Q72" s="12" t="s">
        <v>5</v>
      </c>
      <c r="R72" s="13"/>
      <c r="S72" s="14"/>
      <c r="T72" s="12" t="s">
        <v>6</v>
      </c>
      <c r="U72" s="13"/>
      <c r="V72" s="14"/>
      <c r="W72" s="12" t="s">
        <v>7</v>
      </c>
      <c r="X72" s="13"/>
      <c r="Y72" s="14"/>
      <c r="Z72" s="12" t="s">
        <v>8</v>
      </c>
      <c r="AA72" s="13"/>
      <c r="AB72" s="14"/>
      <c r="AC72" s="15" t="s">
        <v>75</v>
      </c>
      <c r="AD72" s="16"/>
      <c r="AE72" s="17"/>
    </row>
    <row r="73" spans="2:31" x14ac:dyDescent="0.5">
      <c r="C73" s="19"/>
      <c r="D73" s="21"/>
      <c r="E73" s="8" t="s">
        <v>9</v>
      </c>
      <c r="F73" s="8" t="s">
        <v>10</v>
      </c>
      <c r="G73" s="8" t="s">
        <v>11</v>
      </c>
      <c r="H73" s="8" t="s">
        <v>9</v>
      </c>
      <c r="I73" s="8" t="s">
        <v>10</v>
      </c>
      <c r="J73" s="8" t="s">
        <v>11</v>
      </c>
      <c r="K73" s="8" t="s">
        <v>9</v>
      </c>
      <c r="L73" s="8" t="s">
        <v>10</v>
      </c>
      <c r="M73" s="8" t="s">
        <v>11</v>
      </c>
      <c r="N73" s="8" t="s">
        <v>9</v>
      </c>
      <c r="O73" s="8" t="s">
        <v>10</v>
      </c>
      <c r="P73" s="8" t="s">
        <v>11</v>
      </c>
      <c r="Q73" s="8" t="s">
        <v>9</v>
      </c>
      <c r="R73" s="8" t="s">
        <v>10</v>
      </c>
      <c r="S73" s="8" t="s">
        <v>11</v>
      </c>
      <c r="T73" s="8" t="s">
        <v>9</v>
      </c>
      <c r="U73" s="8" t="s">
        <v>10</v>
      </c>
      <c r="V73" s="8" t="s">
        <v>11</v>
      </c>
      <c r="W73" s="8" t="s">
        <v>9</v>
      </c>
      <c r="X73" s="8" t="s">
        <v>10</v>
      </c>
      <c r="Y73" s="8" t="s">
        <v>11</v>
      </c>
      <c r="Z73" s="8" t="s">
        <v>9</v>
      </c>
      <c r="AA73" s="8" t="s">
        <v>10</v>
      </c>
      <c r="AB73" s="8" t="s">
        <v>11</v>
      </c>
      <c r="AC73" s="8" t="s">
        <v>12</v>
      </c>
      <c r="AD73" s="8" t="s">
        <v>13</v>
      </c>
      <c r="AE73" s="9" t="s">
        <v>11</v>
      </c>
    </row>
    <row r="74" spans="2:31" x14ac:dyDescent="0.5">
      <c r="C74" s="2" t="s">
        <v>28</v>
      </c>
      <c r="D74" s="3">
        <v>15</v>
      </c>
      <c r="E74" s="4">
        <v>106</v>
      </c>
      <c r="F74" s="4">
        <v>15</v>
      </c>
      <c r="G74" s="4">
        <v>277</v>
      </c>
      <c r="H74" s="4">
        <v>97</v>
      </c>
      <c r="I74" s="4">
        <v>19</v>
      </c>
      <c r="J74" s="4">
        <v>437</v>
      </c>
      <c r="K74" s="4">
        <v>138.5</v>
      </c>
      <c r="L74" s="4">
        <v>3</v>
      </c>
      <c r="M74" s="4">
        <v>94</v>
      </c>
      <c r="N74" s="4">
        <v>56</v>
      </c>
      <c r="O74" s="4">
        <v>35</v>
      </c>
      <c r="P74" s="4">
        <v>786</v>
      </c>
      <c r="Q74" s="4">
        <v>70</v>
      </c>
      <c r="R74" s="4">
        <v>41</v>
      </c>
      <c r="S74" s="4">
        <v>743</v>
      </c>
      <c r="T74" s="4">
        <v>82</v>
      </c>
      <c r="U74" s="4">
        <v>30</v>
      </c>
      <c r="V74" s="4">
        <v>444</v>
      </c>
      <c r="W74" s="4">
        <v>341.5</v>
      </c>
      <c r="X74" s="4">
        <v>8</v>
      </c>
      <c r="Y74" s="4">
        <v>217</v>
      </c>
      <c r="Z74" s="4">
        <v>208</v>
      </c>
      <c r="AA74" s="4">
        <v>36</v>
      </c>
      <c r="AB74" s="4">
        <v>654</v>
      </c>
      <c r="AC74" s="4">
        <v>549.5</v>
      </c>
      <c r="AD74" s="4">
        <v>22</v>
      </c>
      <c r="AE74" s="4">
        <v>443</v>
      </c>
    </row>
    <row r="75" spans="2:31" x14ac:dyDescent="0.5">
      <c r="C75" s="2" t="s">
        <v>28</v>
      </c>
      <c r="D75" s="3">
        <v>15</v>
      </c>
      <c r="E75" s="4">
        <v>106</v>
      </c>
      <c r="F75" s="4">
        <v>15</v>
      </c>
      <c r="G75" s="4">
        <v>277</v>
      </c>
      <c r="H75" s="4">
        <v>97</v>
      </c>
      <c r="I75" s="4">
        <v>19</v>
      </c>
      <c r="J75" s="4">
        <v>437</v>
      </c>
      <c r="K75" s="4">
        <v>138.5</v>
      </c>
      <c r="L75" s="4">
        <v>3</v>
      </c>
      <c r="M75" s="4">
        <v>94</v>
      </c>
      <c r="N75" s="4">
        <v>56</v>
      </c>
      <c r="O75" s="4">
        <v>35</v>
      </c>
      <c r="P75" s="4">
        <v>786</v>
      </c>
      <c r="Q75" s="4">
        <v>70</v>
      </c>
      <c r="R75" s="4">
        <v>41</v>
      </c>
      <c r="S75" s="4">
        <v>743</v>
      </c>
      <c r="T75" s="4">
        <v>82</v>
      </c>
      <c r="U75" s="4">
        <v>30</v>
      </c>
      <c r="V75" s="4">
        <v>444</v>
      </c>
      <c r="W75" s="4">
        <v>341.5</v>
      </c>
      <c r="X75" s="4">
        <v>8</v>
      </c>
      <c r="Y75" s="4">
        <v>217</v>
      </c>
      <c r="Z75" s="4">
        <v>208</v>
      </c>
      <c r="AA75" s="4">
        <v>36</v>
      </c>
      <c r="AB75" s="4">
        <v>654</v>
      </c>
      <c r="AC75" s="4">
        <v>549.5</v>
      </c>
      <c r="AD75" s="4">
        <v>22</v>
      </c>
      <c r="AE75" s="4">
        <v>443</v>
      </c>
    </row>
    <row r="77" spans="2:31" ht="14.1" customHeight="1" x14ac:dyDescent="0.5">
      <c r="B77" t="s">
        <v>85</v>
      </c>
      <c r="C77" s="18" t="s">
        <v>73</v>
      </c>
      <c r="D77" s="20" t="s">
        <v>0</v>
      </c>
      <c r="E77" s="12" t="s">
        <v>1</v>
      </c>
      <c r="F77" s="13"/>
      <c r="G77" s="14"/>
      <c r="H77" s="12" t="s">
        <v>2</v>
      </c>
      <c r="I77" s="13"/>
      <c r="J77" s="14"/>
      <c r="K77" s="12" t="s">
        <v>3</v>
      </c>
      <c r="L77" s="13"/>
      <c r="M77" s="14"/>
      <c r="N77" s="12" t="s">
        <v>4</v>
      </c>
      <c r="O77" s="13"/>
      <c r="P77" s="14"/>
      <c r="Q77" s="12" t="s">
        <v>5</v>
      </c>
      <c r="R77" s="13"/>
      <c r="S77" s="14"/>
      <c r="T77" s="12" t="s">
        <v>6</v>
      </c>
      <c r="U77" s="13"/>
      <c r="V77" s="14"/>
      <c r="W77" s="12" t="s">
        <v>7</v>
      </c>
      <c r="X77" s="13"/>
      <c r="Y77" s="14"/>
      <c r="Z77" s="12" t="s">
        <v>8</v>
      </c>
      <c r="AA77" s="13"/>
      <c r="AB77" s="14"/>
      <c r="AC77" s="15" t="s">
        <v>75</v>
      </c>
      <c r="AD77" s="16"/>
      <c r="AE77" s="17"/>
    </row>
    <row r="78" spans="2:31" x14ac:dyDescent="0.5">
      <c r="C78" s="19"/>
      <c r="D78" s="21"/>
      <c r="E78" s="8" t="s">
        <v>9</v>
      </c>
      <c r="F78" s="8" t="s">
        <v>10</v>
      </c>
      <c r="G78" s="8" t="s">
        <v>11</v>
      </c>
      <c r="H78" s="8" t="s">
        <v>9</v>
      </c>
      <c r="I78" s="8" t="s">
        <v>10</v>
      </c>
      <c r="J78" s="8" t="s">
        <v>11</v>
      </c>
      <c r="K78" s="8" t="s">
        <v>9</v>
      </c>
      <c r="L78" s="8" t="s">
        <v>10</v>
      </c>
      <c r="M78" s="8" t="s">
        <v>11</v>
      </c>
      <c r="N78" s="8" t="s">
        <v>9</v>
      </c>
      <c r="O78" s="8" t="s">
        <v>10</v>
      </c>
      <c r="P78" s="8" t="s">
        <v>11</v>
      </c>
      <c r="Q78" s="8" t="s">
        <v>9</v>
      </c>
      <c r="R78" s="8" t="s">
        <v>10</v>
      </c>
      <c r="S78" s="8" t="s">
        <v>11</v>
      </c>
      <c r="T78" s="8" t="s">
        <v>9</v>
      </c>
      <c r="U78" s="8" t="s">
        <v>10</v>
      </c>
      <c r="V78" s="8" t="s">
        <v>11</v>
      </c>
      <c r="W78" s="8" t="s">
        <v>9</v>
      </c>
      <c r="X78" s="8" t="s">
        <v>10</v>
      </c>
      <c r="Y78" s="8" t="s">
        <v>11</v>
      </c>
      <c r="Z78" s="8" t="s">
        <v>9</v>
      </c>
      <c r="AA78" s="8" t="s">
        <v>10</v>
      </c>
      <c r="AB78" s="8" t="s">
        <v>11</v>
      </c>
      <c r="AC78" s="8" t="s">
        <v>12</v>
      </c>
      <c r="AD78" s="8" t="s">
        <v>13</v>
      </c>
      <c r="AE78" s="9" t="s">
        <v>11</v>
      </c>
    </row>
    <row r="79" spans="2:31" x14ac:dyDescent="0.5">
      <c r="C79" s="2" t="s">
        <v>29</v>
      </c>
      <c r="D79" s="3">
        <v>16</v>
      </c>
      <c r="E79" s="4">
        <v>98</v>
      </c>
      <c r="F79" s="4">
        <v>28</v>
      </c>
      <c r="G79" s="4">
        <v>604</v>
      </c>
      <c r="H79" s="4">
        <v>82</v>
      </c>
      <c r="I79" s="4">
        <v>39</v>
      </c>
      <c r="J79" s="4">
        <v>756</v>
      </c>
      <c r="K79" s="4">
        <v>136.5</v>
      </c>
      <c r="L79" s="4">
        <v>7</v>
      </c>
      <c r="M79" s="4">
        <v>157</v>
      </c>
      <c r="N79" s="4">
        <v>72</v>
      </c>
      <c r="O79" s="4">
        <v>23</v>
      </c>
      <c r="P79" s="4">
        <v>427</v>
      </c>
      <c r="Q79" s="4">
        <v>74</v>
      </c>
      <c r="R79" s="4">
        <v>35</v>
      </c>
      <c r="S79" s="4">
        <v>603</v>
      </c>
      <c r="T79" s="4">
        <v>84</v>
      </c>
      <c r="U79" s="4">
        <v>23</v>
      </c>
      <c r="V79" s="4">
        <v>379</v>
      </c>
      <c r="W79" s="4">
        <v>316.5</v>
      </c>
      <c r="X79" s="4">
        <v>28</v>
      </c>
      <c r="Y79" s="4">
        <v>511</v>
      </c>
      <c r="Z79" s="4">
        <v>230</v>
      </c>
      <c r="AA79" s="4">
        <v>24</v>
      </c>
      <c r="AB79" s="4">
        <v>445</v>
      </c>
      <c r="AC79" s="4">
        <v>546.5</v>
      </c>
      <c r="AD79" s="4">
        <v>26</v>
      </c>
      <c r="AE79" s="4">
        <v>468</v>
      </c>
    </row>
    <row r="80" spans="2:31" x14ac:dyDescent="0.5">
      <c r="C80" s="2" t="s">
        <v>29</v>
      </c>
      <c r="D80" s="3">
        <v>16</v>
      </c>
      <c r="E80" s="4">
        <v>98</v>
      </c>
      <c r="F80" s="4">
        <v>28</v>
      </c>
      <c r="G80" s="4">
        <v>604</v>
      </c>
      <c r="H80" s="4">
        <v>82</v>
      </c>
      <c r="I80" s="4">
        <v>39</v>
      </c>
      <c r="J80" s="4">
        <v>756</v>
      </c>
      <c r="K80" s="4">
        <v>136.5</v>
      </c>
      <c r="L80" s="4">
        <v>7</v>
      </c>
      <c r="M80" s="4">
        <v>157</v>
      </c>
      <c r="N80" s="4">
        <v>72</v>
      </c>
      <c r="O80" s="4">
        <v>23</v>
      </c>
      <c r="P80" s="4">
        <v>427</v>
      </c>
      <c r="Q80" s="4">
        <v>74</v>
      </c>
      <c r="R80" s="4">
        <v>35</v>
      </c>
      <c r="S80" s="4">
        <v>603</v>
      </c>
      <c r="T80" s="4">
        <v>84</v>
      </c>
      <c r="U80" s="4">
        <v>23</v>
      </c>
      <c r="V80" s="4">
        <v>379</v>
      </c>
      <c r="W80" s="4">
        <v>316.5</v>
      </c>
      <c r="X80" s="4">
        <v>28</v>
      </c>
      <c r="Y80" s="4">
        <v>511</v>
      </c>
      <c r="Z80" s="4">
        <v>230</v>
      </c>
      <c r="AA80" s="4">
        <v>24</v>
      </c>
      <c r="AB80" s="4">
        <v>445</v>
      </c>
      <c r="AC80" s="4">
        <v>546.5</v>
      </c>
      <c r="AD80" s="4">
        <v>26</v>
      </c>
      <c r="AE80" s="4">
        <v>468</v>
      </c>
    </row>
    <row r="82" spans="2:31" ht="14.1" customHeight="1" x14ac:dyDescent="0.5">
      <c r="B82" t="s">
        <v>85</v>
      </c>
      <c r="C82" s="18" t="s">
        <v>73</v>
      </c>
      <c r="D82" s="20" t="s">
        <v>0</v>
      </c>
      <c r="E82" s="12" t="s">
        <v>1</v>
      </c>
      <c r="F82" s="13"/>
      <c r="G82" s="14"/>
      <c r="H82" s="12" t="s">
        <v>2</v>
      </c>
      <c r="I82" s="13"/>
      <c r="J82" s="14"/>
      <c r="K82" s="12" t="s">
        <v>3</v>
      </c>
      <c r="L82" s="13"/>
      <c r="M82" s="14"/>
      <c r="N82" s="12" t="s">
        <v>4</v>
      </c>
      <c r="O82" s="13"/>
      <c r="P82" s="14"/>
      <c r="Q82" s="12" t="s">
        <v>5</v>
      </c>
      <c r="R82" s="13"/>
      <c r="S82" s="14"/>
      <c r="T82" s="12" t="s">
        <v>6</v>
      </c>
      <c r="U82" s="13"/>
      <c r="V82" s="14"/>
      <c r="W82" s="12" t="s">
        <v>7</v>
      </c>
      <c r="X82" s="13"/>
      <c r="Y82" s="14"/>
      <c r="Z82" s="12" t="s">
        <v>8</v>
      </c>
      <c r="AA82" s="13"/>
      <c r="AB82" s="14"/>
      <c r="AC82" s="15" t="s">
        <v>75</v>
      </c>
      <c r="AD82" s="16"/>
      <c r="AE82" s="17"/>
    </row>
    <row r="83" spans="2:31" x14ac:dyDescent="0.5">
      <c r="C83" s="19"/>
      <c r="D83" s="21"/>
      <c r="E83" s="8" t="s">
        <v>9</v>
      </c>
      <c r="F83" s="8" t="s">
        <v>10</v>
      </c>
      <c r="G83" s="8" t="s">
        <v>11</v>
      </c>
      <c r="H83" s="8" t="s">
        <v>9</v>
      </c>
      <c r="I83" s="8" t="s">
        <v>10</v>
      </c>
      <c r="J83" s="8" t="s">
        <v>11</v>
      </c>
      <c r="K83" s="8" t="s">
        <v>9</v>
      </c>
      <c r="L83" s="8" t="s">
        <v>10</v>
      </c>
      <c r="M83" s="8" t="s">
        <v>11</v>
      </c>
      <c r="N83" s="8" t="s">
        <v>9</v>
      </c>
      <c r="O83" s="8" t="s">
        <v>10</v>
      </c>
      <c r="P83" s="8" t="s">
        <v>11</v>
      </c>
      <c r="Q83" s="8" t="s">
        <v>9</v>
      </c>
      <c r="R83" s="8" t="s">
        <v>10</v>
      </c>
      <c r="S83" s="8" t="s">
        <v>11</v>
      </c>
      <c r="T83" s="8" t="s">
        <v>9</v>
      </c>
      <c r="U83" s="8" t="s">
        <v>10</v>
      </c>
      <c r="V83" s="8" t="s">
        <v>11</v>
      </c>
      <c r="W83" s="8" t="s">
        <v>9</v>
      </c>
      <c r="X83" s="8" t="s">
        <v>10</v>
      </c>
      <c r="Y83" s="8" t="s">
        <v>11</v>
      </c>
      <c r="Z83" s="8" t="s">
        <v>9</v>
      </c>
      <c r="AA83" s="8" t="s">
        <v>10</v>
      </c>
      <c r="AB83" s="8" t="s">
        <v>11</v>
      </c>
      <c r="AC83" s="8" t="s">
        <v>12</v>
      </c>
      <c r="AD83" s="8" t="s">
        <v>13</v>
      </c>
      <c r="AE83" s="9" t="s">
        <v>11</v>
      </c>
    </row>
    <row r="84" spans="2:31" x14ac:dyDescent="0.5">
      <c r="C84" s="2" t="s">
        <v>30</v>
      </c>
      <c r="D84" s="3">
        <v>17</v>
      </c>
      <c r="E84" s="4">
        <v>103</v>
      </c>
      <c r="F84" s="4">
        <v>22</v>
      </c>
      <c r="G84" s="4">
        <v>374</v>
      </c>
      <c r="H84" s="4">
        <v>88</v>
      </c>
      <c r="I84" s="4">
        <v>33</v>
      </c>
      <c r="J84" s="4">
        <v>643</v>
      </c>
      <c r="K84" s="4">
        <v>123</v>
      </c>
      <c r="L84" s="4">
        <v>35</v>
      </c>
      <c r="M84" s="4">
        <v>637</v>
      </c>
      <c r="N84" s="4">
        <v>74</v>
      </c>
      <c r="O84" s="4">
        <v>22</v>
      </c>
      <c r="P84" s="4">
        <v>372</v>
      </c>
      <c r="Q84" s="4">
        <v>87</v>
      </c>
      <c r="R84" s="4">
        <v>13</v>
      </c>
      <c r="S84" s="4">
        <v>208</v>
      </c>
      <c r="T84" s="4">
        <v>86</v>
      </c>
      <c r="U84" s="4">
        <v>18</v>
      </c>
      <c r="V84" s="4">
        <v>301</v>
      </c>
      <c r="W84" s="4">
        <v>314</v>
      </c>
      <c r="X84" s="4">
        <v>32</v>
      </c>
      <c r="Y84" s="4">
        <v>540</v>
      </c>
      <c r="Z84" s="4">
        <v>247</v>
      </c>
      <c r="AA84" s="4">
        <v>18</v>
      </c>
      <c r="AB84" s="4">
        <v>285</v>
      </c>
      <c r="AC84" s="4">
        <v>561</v>
      </c>
      <c r="AD84" s="4">
        <v>19</v>
      </c>
      <c r="AE84" s="4">
        <v>369</v>
      </c>
    </row>
    <row r="85" spans="2:31" x14ac:dyDescent="0.5">
      <c r="C85" s="2" t="s">
        <v>30</v>
      </c>
      <c r="D85" s="3">
        <v>17</v>
      </c>
      <c r="E85" s="4">
        <v>103</v>
      </c>
      <c r="F85" s="4">
        <v>22</v>
      </c>
      <c r="G85" s="4">
        <v>374</v>
      </c>
      <c r="H85" s="4">
        <v>88</v>
      </c>
      <c r="I85" s="4">
        <v>33</v>
      </c>
      <c r="J85" s="4">
        <v>643</v>
      </c>
      <c r="K85" s="4">
        <v>123</v>
      </c>
      <c r="L85" s="4">
        <v>35</v>
      </c>
      <c r="M85" s="4">
        <v>637</v>
      </c>
      <c r="N85" s="4">
        <v>74</v>
      </c>
      <c r="O85" s="4">
        <v>22</v>
      </c>
      <c r="P85" s="4">
        <v>372</v>
      </c>
      <c r="Q85" s="4">
        <v>87</v>
      </c>
      <c r="R85" s="4">
        <v>13</v>
      </c>
      <c r="S85" s="4">
        <v>208</v>
      </c>
      <c r="T85" s="4">
        <v>86</v>
      </c>
      <c r="U85" s="4">
        <v>18</v>
      </c>
      <c r="V85" s="4">
        <v>301</v>
      </c>
      <c r="W85" s="4">
        <v>314</v>
      </c>
      <c r="X85" s="4">
        <v>32</v>
      </c>
      <c r="Y85" s="4">
        <v>540</v>
      </c>
      <c r="Z85" s="4">
        <v>247</v>
      </c>
      <c r="AA85" s="4">
        <v>18</v>
      </c>
      <c r="AB85" s="4">
        <v>285</v>
      </c>
      <c r="AC85" s="4">
        <v>561</v>
      </c>
      <c r="AD85" s="4">
        <v>19</v>
      </c>
      <c r="AE85" s="4">
        <v>369</v>
      </c>
    </row>
    <row r="87" spans="2:31" ht="14.1" customHeight="1" x14ac:dyDescent="0.5">
      <c r="B87" t="s">
        <v>85</v>
      </c>
      <c r="C87" s="18" t="s">
        <v>73</v>
      </c>
      <c r="D87" s="20" t="s">
        <v>0</v>
      </c>
      <c r="E87" s="12" t="s">
        <v>1</v>
      </c>
      <c r="F87" s="13"/>
      <c r="G87" s="14"/>
      <c r="H87" s="12" t="s">
        <v>2</v>
      </c>
      <c r="I87" s="13"/>
      <c r="J87" s="14"/>
      <c r="K87" s="12" t="s">
        <v>3</v>
      </c>
      <c r="L87" s="13"/>
      <c r="M87" s="14"/>
      <c r="N87" s="12" t="s">
        <v>4</v>
      </c>
      <c r="O87" s="13"/>
      <c r="P87" s="14"/>
      <c r="Q87" s="12" t="s">
        <v>5</v>
      </c>
      <c r="R87" s="13"/>
      <c r="S87" s="14"/>
      <c r="T87" s="12" t="s">
        <v>6</v>
      </c>
      <c r="U87" s="13"/>
      <c r="V87" s="14"/>
      <c r="W87" s="12" t="s">
        <v>7</v>
      </c>
      <c r="X87" s="13"/>
      <c r="Y87" s="14"/>
      <c r="Z87" s="12" t="s">
        <v>8</v>
      </c>
      <c r="AA87" s="13"/>
      <c r="AB87" s="14"/>
      <c r="AC87" s="15" t="s">
        <v>75</v>
      </c>
      <c r="AD87" s="16"/>
      <c r="AE87" s="17"/>
    </row>
    <row r="88" spans="2:31" x14ac:dyDescent="0.5">
      <c r="C88" s="19"/>
      <c r="D88" s="21"/>
      <c r="E88" s="8" t="s">
        <v>9</v>
      </c>
      <c r="F88" s="8" t="s">
        <v>10</v>
      </c>
      <c r="G88" s="8" t="s">
        <v>11</v>
      </c>
      <c r="H88" s="8" t="s">
        <v>9</v>
      </c>
      <c r="I88" s="8" t="s">
        <v>10</v>
      </c>
      <c r="J88" s="8" t="s">
        <v>11</v>
      </c>
      <c r="K88" s="8" t="s">
        <v>9</v>
      </c>
      <c r="L88" s="8" t="s">
        <v>10</v>
      </c>
      <c r="M88" s="8" t="s">
        <v>11</v>
      </c>
      <c r="N88" s="8" t="s">
        <v>9</v>
      </c>
      <c r="O88" s="8" t="s">
        <v>10</v>
      </c>
      <c r="P88" s="8" t="s">
        <v>11</v>
      </c>
      <c r="Q88" s="8" t="s">
        <v>9</v>
      </c>
      <c r="R88" s="8" t="s">
        <v>10</v>
      </c>
      <c r="S88" s="8" t="s">
        <v>11</v>
      </c>
      <c r="T88" s="8" t="s">
        <v>9</v>
      </c>
      <c r="U88" s="8" t="s">
        <v>10</v>
      </c>
      <c r="V88" s="8" t="s">
        <v>11</v>
      </c>
      <c r="W88" s="8" t="s">
        <v>9</v>
      </c>
      <c r="X88" s="8" t="s">
        <v>10</v>
      </c>
      <c r="Y88" s="8" t="s">
        <v>11</v>
      </c>
      <c r="Z88" s="8" t="s">
        <v>9</v>
      </c>
      <c r="AA88" s="8" t="s">
        <v>10</v>
      </c>
      <c r="AB88" s="8" t="s">
        <v>11</v>
      </c>
      <c r="AC88" s="8" t="s">
        <v>12</v>
      </c>
      <c r="AD88" s="8" t="s">
        <v>13</v>
      </c>
      <c r="AE88" s="9" t="s">
        <v>11</v>
      </c>
    </row>
    <row r="89" spans="2:31" x14ac:dyDescent="0.5">
      <c r="C89" s="2" t="s">
        <v>31</v>
      </c>
      <c r="D89" s="3">
        <v>18</v>
      </c>
      <c r="E89" s="4">
        <v>105</v>
      </c>
      <c r="F89" s="4">
        <v>16</v>
      </c>
      <c r="G89" s="4">
        <v>307</v>
      </c>
      <c r="H89" s="4">
        <v>62</v>
      </c>
      <c r="I89" s="4">
        <v>51</v>
      </c>
      <c r="J89" s="4">
        <v>1135</v>
      </c>
      <c r="K89" s="4">
        <v>114</v>
      </c>
      <c r="L89" s="4">
        <v>46</v>
      </c>
      <c r="M89" s="4">
        <v>948</v>
      </c>
      <c r="N89" s="4">
        <v>31</v>
      </c>
      <c r="O89" s="4">
        <v>58</v>
      </c>
      <c r="P89" s="4">
        <v>1295</v>
      </c>
      <c r="Q89" s="4">
        <v>58</v>
      </c>
      <c r="R89" s="4">
        <v>54</v>
      </c>
      <c r="S89" s="4">
        <v>1069</v>
      </c>
      <c r="T89" s="4">
        <v>71</v>
      </c>
      <c r="U89" s="4">
        <v>43</v>
      </c>
      <c r="V89" s="4">
        <v>784</v>
      </c>
      <c r="W89" s="4">
        <v>281</v>
      </c>
      <c r="X89" s="4">
        <v>47</v>
      </c>
      <c r="Y89" s="4">
        <v>956</v>
      </c>
      <c r="Z89" s="4">
        <v>160</v>
      </c>
      <c r="AA89" s="4">
        <v>56</v>
      </c>
      <c r="AB89" s="4">
        <v>1114</v>
      </c>
      <c r="AC89" s="4">
        <v>441</v>
      </c>
      <c r="AD89" s="4">
        <v>55</v>
      </c>
      <c r="AE89" s="4">
        <v>1069</v>
      </c>
    </row>
    <row r="90" spans="2:31" x14ac:dyDescent="0.5">
      <c r="C90" s="2" t="s">
        <v>31</v>
      </c>
      <c r="D90" s="3">
        <v>18</v>
      </c>
      <c r="E90" s="4">
        <v>105</v>
      </c>
      <c r="F90" s="4">
        <v>16</v>
      </c>
      <c r="G90" s="4">
        <v>307</v>
      </c>
      <c r="H90" s="4">
        <v>62</v>
      </c>
      <c r="I90" s="4">
        <v>51</v>
      </c>
      <c r="J90" s="4">
        <v>1135</v>
      </c>
      <c r="K90" s="4">
        <v>114</v>
      </c>
      <c r="L90" s="4">
        <v>46</v>
      </c>
      <c r="M90" s="4">
        <v>948</v>
      </c>
      <c r="N90" s="4">
        <v>31</v>
      </c>
      <c r="O90" s="4">
        <v>58</v>
      </c>
      <c r="P90" s="4">
        <v>1295</v>
      </c>
      <c r="Q90" s="4">
        <v>58</v>
      </c>
      <c r="R90" s="4">
        <v>54</v>
      </c>
      <c r="S90" s="4">
        <v>1069</v>
      </c>
      <c r="T90" s="4">
        <v>71</v>
      </c>
      <c r="U90" s="4">
        <v>43</v>
      </c>
      <c r="V90" s="4">
        <v>784</v>
      </c>
      <c r="W90" s="4">
        <v>281</v>
      </c>
      <c r="X90" s="4">
        <v>47</v>
      </c>
      <c r="Y90" s="4">
        <v>956</v>
      </c>
      <c r="Z90" s="4">
        <v>160</v>
      </c>
      <c r="AA90" s="4">
        <v>56</v>
      </c>
      <c r="AB90" s="4">
        <v>1114</v>
      </c>
      <c r="AC90" s="4">
        <v>441</v>
      </c>
      <c r="AD90" s="4">
        <v>55</v>
      </c>
      <c r="AE90" s="4">
        <v>1069</v>
      </c>
    </row>
    <row r="92" spans="2:31" ht="14.1" customHeight="1" x14ac:dyDescent="0.5">
      <c r="B92" t="s">
        <v>85</v>
      </c>
      <c r="C92" s="18" t="s">
        <v>73</v>
      </c>
      <c r="D92" s="20" t="s">
        <v>0</v>
      </c>
      <c r="E92" s="12" t="s">
        <v>1</v>
      </c>
      <c r="F92" s="13"/>
      <c r="G92" s="14"/>
      <c r="H92" s="12" t="s">
        <v>2</v>
      </c>
      <c r="I92" s="13"/>
      <c r="J92" s="14"/>
      <c r="K92" s="12" t="s">
        <v>3</v>
      </c>
      <c r="L92" s="13"/>
      <c r="M92" s="14"/>
      <c r="N92" s="12" t="s">
        <v>4</v>
      </c>
      <c r="O92" s="13"/>
      <c r="P92" s="14"/>
      <c r="Q92" s="12" t="s">
        <v>5</v>
      </c>
      <c r="R92" s="13"/>
      <c r="S92" s="14"/>
      <c r="T92" s="12" t="s">
        <v>6</v>
      </c>
      <c r="U92" s="13"/>
      <c r="V92" s="14"/>
      <c r="W92" s="12" t="s">
        <v>7</v>
      </c>
      <c r="X92" s="13"/>
      <c r="Y92" s="14"/>
      <c r="Z92" s="12" t="s">
        <v>8</v>
      </c>
      <c r="AA92" s="13"/>
      <c r="AB92" s="14"/>
      <c r="AC92" s="15" t="s">
        <v>75</v>
      </c>
      <c r="AD92" s="16"/>
      <c r="AE92" s="17"/>
    </row>
    <row r="93" spans="2:31" x14ac:dyDescent="0.5">
      <c r="C93" s="19"/>
      <c r="D93" s="21"/>
      <c r="E93" s="8" t="s">
        <v>9</v>
      </c>
      <c r="F93" s="8" t="s">
        <v>10</v>
      </c>
      <c r="G93" s="8" t="s">
        <v>11</v>
      </c>
      <c r="H93" s="8" t="s">
        <v>9</v>
      </c>
      <c r="I93" s="8" t="s">
        <v>10</v>
      </c>
      <c r="J93" s="8" t="s">
        <v>11</v>
      </c>
      <c r="K93" s="8" t="s">
        <v>9</v>
      </c>
      <c r="L93" s="8" t="s">
        <v>10</v>
      </c>
      <c r="M93" s="8" t="s">
        <v>11</v>
      </c>
      <c r="N93" s="8" t="s">
        <v>9</v>
      </c>
      <c r="O93" s="8" t="s">
        <v>10</v>
      </c>
      <c r="P93" s="8" t="s">
        <v>11</v>
      </c>
      <c r="Q93" s="8" t="s">
        <v>9</v>
      </c>
      <c r="R93" s="8" t="s">
        <v>10</v>
      </c>
      <c r="S93" s="8" t="s">
        <v>11</v>
      </c>
      <c r="T93" s="8" t="s">
        <v>9</v>
      </c>
      <c r="U93" s="8" t="s">
        <v>10</v>
      </c>
      <c r="V93" s="8" t="s">
        <v>11</v>
      </c>
      <c r="W93" s="8" t="s">
        <v>9</v>
      </c>
      <c r="X93" s="8" t="s">
        <v>10</v>
      </c>
      <c r="Y93" s="8" t="s">
        <v>11</v>
      </c>
      <c r="Z93" s="8" t="s">
        <v>9</v>
      </c>
      <c r="AA93" s="8" t="s">
        <v>10</v>
      </c>
      <c r="AB93" s="8" t="s">
        <v>11</v>
      </c>
      <c r="AC93" s="8" t="s">
        <v>12</v>
      </c>
      <c r="AD93" s="8" t="s">
        <v>13</v>
      </c>
      <c r="AE93" s="9" t="s">
        <v>11</v>
      </c>
    </row>
    <row r="94" spans="2:31" x14ac:dyDescent="0.5">
      <c r="C94" s="2" t="s">
        <v>32</v>
      </c>
      <c r="D94" s="3">
        <v>19</v>
      </c>
      <c r="E94" s="4">
        <v>93</v>
      </c>
      <c r="F94" s="4">
        <v>39</v>
      </c>
      <c r="G94" s="4">
        <v>824</v>
      </c>
      <c r="H94" s="4">
        <v>92</v>
      </c>
      <c r="I94" s="4">
        <v>27</v>
      </c>
      <c r="J94" s="4">
        <v>553</v>
      </c>
      <c r="K94" s="4">
        <v>113</v>
      </c>
      <c r="L94" s="4">
        <v>48</v>
      </c>
      <c r="M94" s="4">
        <v>970</v>
      </c>
      <c r="N94" s="4">
        <v>71</v>
      </c>
      <c r="O94" s="4">
        <v>25</v>
      </c>
      <c r="P94" s="4">
        <v>451</v>
      </c>
      <c r="Q94" s="4">
        <v>71</v>
      </c>
      <c r="R94" s="4">
        <v>39</v>
      </c>
      <c r="S94" s="4">
        <v>726</v>
      </c>
      <c r="T94" s="4">
        <v>71</v>
      </c>
      <c r="U94" s="4">
        <v>43</v>
      </c>
      <c r="V94" s="4">
        <v>784</v>
      </c>
      <c r="W94" s="4">
        <v>298</v>
      </c>
      <c r="X94" s="4">
        <v>37</v>
      </c>
      <c r="Y94" s="4">
        <v>752</v>
      </c>
      <c r="Z94" s="4">
        <v>213</v>
      </c>
      <c r="AA94" s="4">
        <v>32</v>
      </c>
      <c r="AB94" s="4">
        <v>599</v>
      </c>
      <c r="AC94" s="4">
        <v>511</v>
      </c>
      <c r="AD94" s="4">
        <v>37</v>
      </c>
      <c r="AE94" s="4">
        <v>661</v>
      </c>
    </row>
    <row r="95" spans="2:31" x14ac:dyDescent="0.5">
      <c r="C95" s="2" t="s">
        <v>32</v>
      </c>
      <c r="D95" s="3">
        <v>19</v>
      </c>
      <c r="E95" s="4">
        <v>93</v>
      </c>
      <c r="F95" s="4">
        <v>39</v>
      </c>
      <c r="G95" s="4">
        <v>824</v>
      </c>
      <c r="H95" s="4">
        <v>92</v>
      </c>
      <c r="I95" s="4">
        <v>27</v>
      </c>
      <c r="J95" s="4">
        <v>553</v>
      </c>
      <c r="K95" s="4">
        <v>113</v>
      </c>
      <c r="L95" s="4">
        <v>48</v>
      </c>
      <c r="M95" s="4">
        <v>970</v>
      </c>
      <c r="N95" s="4">
        <v>71</v>
      </c>
      <c r="O95" s="4">
        <v>25</v>
      </c>
      <c r="P95" s="4">
        <v>451</v>
      </c>
      <c r="Q95" s="4">
        <v>71</v>
      </c>
      <c r="R95" s="4">
        <v>39</v>
      </c>
      <c r="S95" s="4">
        <v>726</v>
      </c>
      <c r="T95" s="4">
        <v>71</v>
      </c>
      <c r="U95" s="4">
        <v>43</v>
      </c>
      <c r="V95" s="4">
        <v>784</v>
      </c>
      <c r="W95" s="4">
        <v>298</v>
      </c>
      <c r="X95" s="4">
        <v>37</v>
      </c>
      <c r="Y95" s="4">
        <v>752</v>
      </c>
      <c r="Z95" s="4">
        <v>213</v>
      </c>
      <c r="AA95" s="4">
        <v>32</v>
      </c>
      <c r="AB95" s="4">
        <v>599</v>
      </c>
      <c r="AC95" s="4">
        <v>511</v>
      </c>
      <c r="AD95" s="4">
        <v>37</v>
      </c>
      <c r="AE95" s="4">
        <v>661</v>
      </c>
    </row>
    <row r="97" spans="2:31" ht="14.1" customHeight="1" x14ac:dyDescent="0.5">
      <c r="B97" t="s">
        <v>85</v>
      </c>
      <c r="C97" s="18" t="s">
        <v>73</v>
      </c>
      <c r="D97" s="20" t="s">
        <v>0</v>
      </c>
      <c r="E97" s="12" t="s">
        <v>1</v>
      </c>
      <c r="F97" s="13"/>
      <c r="G97" s="14"/>
      <c r="H97" s="12" t="s">
        <v>2</v>
      </c>
      <c r="I97" s="13"/>
      <c r="J97" s="14"/>
      <c r="K97" s="12" t="s">
        <v>3</v>
      </c>
      <c r="L97" s="13"/>
      <c r="M97" s="14"/>
      <c r="N97" s="12" t="s">
        <v>4</v>
      </c>
      <c r="O97" s="13"/>
      <c r="P97" s="14"/>
      <c r="Q97" s="12" t="s">
        <v>5</v>
      </c>
      <c r="R97" s="13"/>
      <c r="S97" s="14"/>
      <c r="T97" s="12" t="s">
        <v>6</v>
      </c>
      <c r="U97" s="13"/>
      <c r="V97" s="14"/>
      <c r="W97" s="12" t="s">
        <v>7</v>
      </c>
      <c r="X97" s="13"/>
      <c r="Y97" s="14"/>
      <c r="Z97" s="12" t="s">
        <v>8</v>
      </c>
      <c r="AA97" s="13"/>
      <c r="AB97" s="14"/>
      <c r="AC97" s="15" t="s">
        <v>75</v>
      </c>
      <c r="AD97" s="16"/>
      <c r="AE97" s="17"/>
    </row>
    <row r="98" spans="2:31" x14ac:dyDescent="0.5">
      <c r="C98" s="19"/>
      <c r="D98" s="21"/>
      <c r="E98" s="8" t="s">
        <v>9</v>
      </c>
      <c r="F98" s="8" t="s">
        <v>10</v>
      </c>
      <c r="G98" s="8" t="s">
        <v>11</v>
      </c>
      <c r="H98" s="8" t="s">
        <v>9</v>
      </c>
      <c r="I98" s="8" t="s">
        <v>10</v>
      </c>
      <c r="J98" s="8" t="s">
        <v>11</v>
      </c>
      <c r="K98" s="8" t="s">
        <v>9</v>
      </c>
      <c r="L98" s="8" t="s">
        <v>10</v>
      </c>
      <c r="M98" s="8" t="s">
        <v>11</v>
      </c>
      <c r="N98" s="8" t="s">
        <v>9</v>
      </c>
      <c r="O98" s="8" t="s">
        <v>10</v>
      </c>
      <c r="P98" s="8" t="s">
        <v>11</v>
      </c>
      <c r="Q98" s="8" t="s">
        <v>9</v>
      </c>
      <c r="R98" s="8" t="s">
        <v>10</v>
      </c>
      <c r="S98" s="8" t="s">
        <v>11</v>
      </c>
      <c r="T98" s="8" t="s">
        <v>9</v>
      </c>
      <c r="U98" s="8" t="s">
        <v>10</v>
      </c>
      <c r="V98" s="8" t="s">
        <v>11</v>
      </c>
      <c r="W98" s="8" t="s">
        <v>9</v>
      </c>
      <c r="X98" s="8" t="s">
        <v>10</v>
      </c>
      <c r="Y98" s="8" t="s">
        <v>11</v>
      </c>
      <c r="Z98" s="8" t="s">
        <v>9</v>
      </c>
      <c r="AA98" s="8" t="s">
        <v>10</v>
      </c>
      <c r="AB98" s="8" t="s">
        <v>11</v>
      </c>
      <c r="AC98" s="8" t="s">
        <v>12</v>
      </c>
      <c r="AD98" s="8" t="s">
        <v>13</v>
      </c>
      <c r="AE98" s="9" t="s">
        <v>11</v>
      </c>
    </row>
    <row r="99" spans="2:31" x14ac:dyDescent="0.5">
      <c r="C99" s="2" t="s">
        <v>33</v>
      </c>
      <c r="D99" s="3">
        <v>20</v>
      </c>
      <c r="E99" s="4">
        <v>96</v>
      </c>
      <c r="F99" s="4">
        <v>33</v>
      </c>
      <c r="G99" s="4">
        <v>696</v>
      </c>
      <c r="H99" s="4">
        <v>89</v>
      </c>
      <c r="I99" s="4">
        <v>30</v>
      </c>
      <c r="J99" s="4">
        <v>619</v>
      </c>
      <c r="K99" s="4">
        <v>129.5</v>
      </c>
      <c r="L99" s="4">
        <v>18</v>
      </c>
      <c r="M99" s="4">
        <v>401</v>
      </c>
      <c r="N99" s="4">
        <v>60</v>
      </c>
      <c r="O99" s="4">
        <v>32</v>
      </c>
      <c r="P99" s="4">
        <v>683</v>
      </c>
      <c r="Q99" s="4">
        <v>80</v>
      </c>
      <c r="R99" s="4">
        <v>25</v>
      </c>
      <c r="S99" s="4">
        <v>411</v>
      </c>
      <c r="T99" s="4">
        <v>86</v>
      </c>
      <c r="U99" s="4">
        <v>18</v>
      </c>
      <c r="V99" s="4">
        <v>301</v>
      </c>
      <c r="W99" s="4">
        <v>314.5</v>
      </c>
      <c r="X99" s="4">
        <v>30</v>
      </c>
      <c r="Y99" s="4">
        <v>536</v>
      </c>
      <c r="Z99" s="4">
        <v>226</v>
      </c>
      <c r="AA99" s="4">
        <v>25</v>
      </c>
      <c r="AB99" s="4">
        <v>479</v>
      </c>
      <c r="AC99" s="4">
        <v>540.5</v>
      </c>
      <c r="AD99" s="4">
        <v>28</v>
      </c>
      <c r="AE99" s="4">
        <v>494</v>
      </c>
    </row>
    <row r="100" spans="2:31" x14ac:dyDescent="0.5">
      <c r="C100" s="2" t="s">
        <v>33</v>
      </c>
      <c r="D100" s="3">
        <v>20</v>
      </c>
      <c r="E100" s="4">
        <v>96</v>
      </c>
      <c r="F100" s="4">
        <v>33</v>
      </c>
      <c r="G100" s="4">
        <v>696</v>
      </c>
      <c r="H100" s="4">
        <v>89</v>
      </c>
      <c r="I100" s="4">
        <v>30</v>
      </c>
      <c r="J100" s="4">
        <v>619</v>
      </c>
      <c r="K100" s="4">
        <v>129.5</v>
      </c>
      <c r="L100" s="4">
        <v>18</v>
      </c>
      <c r="M100" s="4">
        <v>401</v>
      </c>
      <c r="N100" s="4">
        <v>60</v>
      </c>
      <c r="O100" s="4">
        <v>32</v>
      </c>
      <c r="P100" s="4">
        <v>683</v>
      </c>
      <c r="Q100" s="4">
        <v>80</v>
      </c>
      <c r="R100" s="4">
        <v>25</v>
      </c>
      <c r="S100" s="4">
        <v>411</v>
      </c>
      <c r="T100" s="4">
        <v>86</v>
      </c>
      <c r="U100" s="4">
        <v>18</v>
      </c>
      <c r="V100" s="4">
        <v>301</v>
      </c>
      <c r="W100" s="4">
        <v>314.5</v>
      </c>
      <c r="X100" s="4">
        <v>30</v>
      </c>
      <c r="Y100" s="4">
        <v>536</v>
      </c>
      <c r="Z100" s="4">
        <v>226</v>
      </c>
      <c r="AA100" s="4">
        <v>25</v>
      </c>
      <c r="AB100" s="4">
        <v>479</v>
      </c>
      <c r="AC100" s="4">
        <v>540.5</v>
      </c>
      <c r="AD100" s="4">
        <v>28</v>
      </c>
      <c r="AE100" s="4">
        <v>494</v>
      </c>
    </row>
    <row r="102" spans="2:31" ht="14.1" customHeight="1" x14ac:dyDescent="0.5">
      <c r="B102" t="s">
        <v>85</v>
      </c>
      <c r="C102" s="18" t="s">
        <v>73</v>
      </c>
      <c r="D102" s="20" t="s">
        <v>0</v>
      </c>
      <c r="E102" s="12" t="s">
        <v>1</v>
      </c>
      <c r="F102" s="13"/>
      <c r="G102" s="14"/>
      <c r="H102" s="12" t="s">
        <v>2</v>
      </c>
      <c r="I102" s="13"/>
      <c r="J102" s="14"/>
      <c r="K102" s="12" t="s">
        <v>3</v>
      </c>
      <c r="L102" s="13"/>
      <c r="M102" s="14"/>
      <c r="N102" s="12" t="s">
        <v>4</v>
      </c>
      <c r="O102" s="13"/>
      <c r="P102" s="14"/>
      <c r="Q102" s="12" t="s">
        <v>5</v>
      </c>
      <c r="R102" s="13"/>
      <c r="S102" s="14"/>
      <c r="T102" s="12" t="s">
        <v>6</v>
      </c>
      <c r="U102" s="13"/>
      <c r="V102" s="14"/>
      <c r="W102" s="12" t="s">
        <v>7</v>
      </c>
      <c r="X102" s="13"/>
      <c r="Y102" s="14"/>
      <c r="Z102" s="12" t="s">
        <v>8</v>
      </c>
      <c r="AA102" s="13"/>
      <c r="AB102" s="14"/>
      <c r="AC102" s="15" t="s">
        <v>75</v>
      </c>
      <c r="AD102" s="16"/>
      <c r="AE102" s="17"/>
    </row>
    <row r="103" spans="2:31" x14ac:dyDescent="0.5">
      <c r="C103" s="19"/>
      <c r="D103" s="21"/>
      <c r="E103" s="8" t="s">
        <v>9</v>
      </c>
      <c r="F103" s="8" t="s">
        <v>10</v>
      </c>
      <c r="G103" s="8" t="s">
        <v>11</v>
      </c>
      <c r="H103" s="8" t="s">
        <v>9</v>
      </c>
      <c r="I103" s="8" t="s">
        <v>10</v>
      </c>
      <c r="J103" s="8" t="s">
        <v>11</v>
      </c>
      <c r="K103" s="8" t="s">
        <v>9</v>
      </c>
      <c r="L103" s="8" t="s">
        <v>10</v>
      </c>
      <c r="M103" s="8" t="s">
        <v>11</v>
      </c>
      <c r="N103" s="8" t="s">
        <v>9</v>
      </c>
      <c r="O103" s="8" t="s">
        <v>10</v>
      </c>
      <c r="P103" s="8" t="s">
        <v>11</v>
      </c>
      <c r="Q103" s="8" t="s">
        <v>9</v>
      </c>
      <c r="R103" s="8" t="s">
        <v>10</v>
      </c>
      <c r="S103" s="8" t="s">
        <v>11</v>
      </c>
      <c r="T103" s="8" t="s">
        <v>9</v>
      </c>
      <c r="U103" s="8" t="s">
        <v>10</v>
      </c>
      <c r="V103" s="8" t="s">
        <v>11</v>
      </c>
      <c r="W103" s="8" t="s">
        <v>9</v>
      </c>
      <c r="X103" s="8" t="s">
        <v>10</v>
      </c>
      <c r="Y103" s="8" t="s">
        <v>11</v>
      </c>
      <c r="Z103" s="8" t="s">
        <v>9</v>
      </c>
      <c r="AA103" s="8" t="s">
        <v>10</v>
      </c>
      <c r="AB103" s="8" t="s">
        <v>11</v>
      </c>
      <c r="AC103" s="8" t="s">
        <v>12</v>
      </c>
      <c r="AD103" s="8" t="s">
        <v>13</v>
      </c>
      <c r="AE103" s="9" t="s">
        <v>11</v>
      </c>
    </row>
    <row r="104" spans="2:31" x14ac:dyDescent="0.5">
      <c r="C104" s="2" t="s">
        <v>34</v>
      </c>
      <c r="D104" s="3">
        <v>21</v>
      </c>
      <c r="E104" s="4">
        <v>72</v>
      </c>
      <c r="F104" s="4">
        <v>58</v>
      </c>
      <c r="G104" s="4">
        <v>1373</v>
      </c>
      <c r="H104" s="4">
        <v>53</v>
      </c>
      <c r="I104" s="4">
        <v>56</v>
      </c>
      <c r="J104" s="4">
        <v>1280</v>
      </c>
      <c r="K104" s="4">
        <v>87.5</v>
      </c>
      <c r="L104" s="4">
        <v>59</v>
      </c>
      <c r="M104" s="4">
        <v>1356</v>
      </c>
      <c r="N104" s="4">
        <v>67</v>
      </c>
      <c r="O104" s="4">
        <v>26</v>
      </c>
      <c r="P104" s="4">
        <v>527</v>
      </c>
      <c r="Q104" s="4">
        <v>48</v>
      </c>
      <c r="R104" s="4">
        <v>59</v>
      </c>
      <c r="S104" s="4">
        <v>1250</v>
      </c>
      <c r="T104" s="4">
        <v>55</v>
      </c>
      <c r="U104" s="4">
        <v>57</v>
      </c>
      <c r="V104" s="4">
        <v>1179</v>
      </c>
      <c r="W104" s="4">
        <v>212.5</v>
      </c>
      <c r="X104" s="4">
        <v>59</v>
      </c>
      <c r="Y104" s="4">
        <v>1392</v>
      </c>
      <c r="Z104" s="4">
        <v>170</v>
      </c>
      <c r="AA104" s="4">
        <v>52</v>
      </c>
      <c r="AB104" s="4">
        <v>1038</v>
      </c>
      <c r="AC104" s="4">
        <v>382.5</v>
      </c>
      <c r="AD104" s="4">
        <v>59</v>
      </c>
      <c r="AE104" s="4">
        <v>1290</v>
      </c>
    </row>
    <row r="105" spans="2:31" x14ac:dyDescent="0.5">
      <c r="C105" s="2" t="s">
        <v>34</v>
      </c>
      <c r="D105" s="3">
        <v>21</v>
      </c>
      <c r="E105" s="4">
        <v>72</v>
      </c>
      <c r="F105" s="4">
        <v>58</v>
      </c>
      <c r="G105" s="4">
        <v>1373</v>
      </c>
      <c r="H105" s="4">
        <v>53</v>
      </c>
      <c r="I105" s="4">
        <v>56</v>
      </c>
      <c r="J105" s="4">
        <v>1280</v>
      </c>
      <c r="K105" s="4">
        <v>87.5</v>
      </c>
      <c r="L105" s="4">
        <v>59</v>
      </c>
      <c r="M105" s="4">
        <v>1356</v>
      </c>
      <c r="N105" s="4">
        <v>67</v>
      </c>
      <c r="O105" s="4">
        <v>26</v>
      </c>
      <c r="P105" s="4">
        <v>527</v>
      </c>
      <c r="Q105" s="4">
        <v>48</v>
      </c>
      <c r="R105" s="4">
        <v>59</v>
      </c>
      <c r="S105" s="4">
        <v>1250</v>
      </c>
      <c r="T105" s="4">
        <v>55</v>
      </c>
      <c r="U105" s="4">
        <v>57</v>
      </c>
      <c r="V105" s="4">
        <v>1179</v>
      </c>
      <c r="W105" s="4">
        <v>212.5</v>
      </c>
      <c r="X105" s="4">
        <v>59</v>
      </c>
      <c r="Y105" s="4">
        <v>1392</v>
      </c>
      <c r="Z105" s="4">
        <v>170</v>
      </c>
      <c r="AA105" s="4">
        <v>52</v>
      </c>
      <c r="AB105" s="4">
        <v>1038</v>
      </c>
      <c r="AC105" s="4">
        <v>382.5</v>
      </c>
      <c r="AD105" s="4">
        <v>59</v>
      </c>
      <c r="AE105" s="4">
        <v>1290</v>
      </c>
    </row>
    <row r="107" spans="2:31" ht="14.1" customHeight="1" x14ac:dyDescent="0.5">
      <c r="B107" t="s">
        <v>85</v>
      </c>
      <c r="C107" s="18" t="s">
        <v>73</v>
      </c>
      <c r="D107" s="20" t="s">
        <v>0</v>
      </c>
      <c r="E107" s="12" t="s">
        <v>1</v>
      </c>
      <c r="F107" s="13"/>
      <c r="G107" s="14"/>
      <c r="H107" s="12" t="s">
        <v>2</v>
      </c>
      <c r="I107" s="13"/>
      <c r="J107" s="14"/>
      <c r="K107" s="12" t="s">
        <v>3</v>
      </c>
      <c r="L107" s="13"/>
      <c r="M107" s="14"/>
      <c r="N107" s="12" t="s">
        <v>4</v>
      </c>
      <c r="O107" s="13"/>
      <c r="P107" s="14"/>
      <c r="Q107" s="12" t="s">
        <v>5</v>
      </c>
      <c r="R107" s="13"/>
      <c r="S107" s="14"/>
      <c r="T107" s="12" t="s">
        <v>6</v>
      </c>
      <c r="U107" s="13"/>
      <c r="V107" s="14"/>
      <c r="W107" s="12" t="s">
        <v>7</v>
      </c>
      <c r="X107" s="13"/>
      <c r="Y107" s="14"/>
      <c r="Z107" s="12" t="s">
        <v>8</v>
      </c>
      <c r="AA107" s="13"/>
      <c r="AB107" s="14"/>
      <c r="AC107" s="15" t="s">
        <v>75</v>
      </c>
      <c r="AD107" s="16"/>
      <c r="AE107" s="17"/>
    </row>
    <row r="108" spans="2:31" x14ac:dyDescent="0.5">
      <c r="C108" s="19"/>
      <c r="D108" s="21"/>
      <c r="E108" s="8" t="s">
        <v>9</v>
      </c>
      <c r="F108" s="8" t="s">
        <v>10</v>
      </c>
      <c r="G108" s="8" t="s">
        <v>11</v>
      </c>
      <c r="H108" s="8" t="s">
        <v>9</v>
      </c>
      <c r="I108" s="8" t="s">
        <v>10</v>
      </c>
      <c r="J108" s="8" t="s">
        <v>11</v>
      </c>
      <c r="K108" s="8" t="s">
        <v>9</v>
      </c>
      <c r="L108" s="8" t="s">
        <v>10</v>
      </c>
      <c r="M108" s="8" t="s">
        <v>11</v>
      </c>
      <c r="N108" s="8" t="s">
        <v>9</v>
      </c>
      <c r="O108" s="8" t="s">
        <v>10</v>
      </c>
      <c r="P108" s="8" t="s">
        <v>11</v>
      </c>
      <c r="Q108" s="8" t="s">
        <v>9</v>
      </c>
      <c r="R108" s="8" t="s">
        <v>10</v>
      </c>
      <c r="S108" s="8" t="s">
        <v>11</v>
      </c>
      <c r="T108" s="8" t="s">
        <v>9</v>
      </c>
      <c r="U108" s="8" t="s">
        <v>10</v>
      </c>
      <c r="V108" s="8" t="s">
        <v>11</v>
      </c>
      <c r="W108" s="8" t="s">
        <v>9</v>
      </c>
      <c r="X108" s="8" t="s">
        <v>10</v>
      </c>
      <c r="Y108" s="8" t="s">
        <v>11</v>
      </c>
      <c r="Z108" s="8" t="s">
        <v>9</v>
      </c>
      <c r="AA108" s="8" t="s">
        <v>10</v>
      </c>
      <c r="AB108" s="8" t="s">
        <v>11</v>
      </c>
      <c r="AC108" s="8" t="s">
        <v>12</v>
      </c>
      <c r="AD108" s="8" t="s">
        <v>13</v>
      </c>
      <c r="AE108" s="9" t="s">
        <v>11</v>
      </c>
    </row>
    <row r="109" spans="2:31" x14ac:dyDescent="0.5">
      <c r="C109" s="2" t="s">
        <v>35</v>
      </c>
      <c r="D109" s="3">
        <v>22</v>
      </c>
      <c r="E109" s="4">
        <v>75</v>
      </c>
      <c r="F109" s="4">
        <v>55</v>
      </c>
      <c r="G109" s="4">
        <v>1345</v>
      </c>
      <c r="H109" s="4">
        <v>57</v>
      </c>
      <c r="I109" s="4">
        <v>53</v>
      </c>
      <c r="J109" s="4">
        <v>1213</v>
      </c>
      <c r="K109" s="4">
        <v>109.5</v>
      </c>
      <c r="L109" s="4">
        <v>52</v>
      </c>
      <c r="M109" s="4">
        <v>1080</v>
      </c>
      <c r="N109" s="4">
        <v>36</v>
      </c>
      <c r="O109" s="4">
        <v>55</v>
      </c>
      <c r="P109" s="4">
        <v>1206</v>
      </c>
      <c r="Q109" s="4">
        <v>56</v>
      </c>
      <c r="R109" s="4">
        <v>56</v>
      </c>
      <c r="S109" s="4">
        <v>1107</v>
      </c>
      <c r="T109" s="4">
        <v>70</v>
      </c>
      <c r="U109" s="4">
        <v>47</v>
      </c>
      <c r="V109" s="4">
        <v>815</v>
      </c>
      <c r="W109" s="4">
        <v>241.5</v>
      </c>
      <c r="X109" s="4">
        <v>57</v>
      </c>
      <c r="Y109" s="4">
        <v>1289</v>
      </c>
      <c r="Z109" s="4">
        <v>162</v>
      </c>
      <c r="AA109" s="4">
        <v>55</v>
      </c>
      <c r="AB109" s="4">
        <v>1098</v>
      </c>
      <c r="AC109" s="4">
        <v>403.5</v>
      </c>
      <c r="AD109" s="4">
        <v>57</v>
      </c>
      <c r="AE109" s="4">
        <v>1207</v>
      </c>
    </row>
    <row r="110" spans="2:31" x14ac:dyDescent="0.5">
      <c r="C110" s="2" t="s">
        <v>35</v>
      </c>
      <c r="D110" s="3">
        <v>22</v>
      </c>
      <c r="E110" s="4">
        <v>75</v>
      </c>
      <c r="F110" s="4">
        <v>55</v>
      </c>
      <c r="G110" s="4">
        <v>1345</v>
      </c>
      <c r="H110" s="4">
        <v>57</v>
      </c>
      <c r="I110" s="4">
        <v>53</v>
      </c>
      <c r="J110" s="4">
        <v>1213</v>
      </c>
      <c r="K110" s="4">
        <v>109.5</v>
      </c>
      <c r="L110" s="4">
        <v>52</v>
      </c>
      <c r="M110" s="4">
        <v>1080</v>
      </c>
      <c r="N110" s="4">
        <v>36</v>
      </c>
      <c r="O110" s="4">
        <v>55</v>
      </c>
      <c r="P110" s="4">
        <v>1206</v>
      </c>
      <c r="Q110" s="4">
        <v>56</v>
      </c>
      <c r="R110" s="4">
        <v>56</v>
      </c>
      <c r="S110" s="4">
        <v>1107</v>
      </c>
      <c r="T110" s="4">
        <v>70</v>
      </c>
      <c r="U110" s="4">
        <v>47</v>
      </c>
      <c r="V110" s="4">
        <v>815</v>
      </c>
      <c r="W110" s="4">
        <v>241.5</v>
      </c>
      <c r="X110" s="4">
        <v>57</v>
      </c>
      <c r="Y110" s="4">
        <v>1289</v>
      </c>
      <c r="Z110" s="4">
        <v>162</v>
      </c>
      <c r="AA110" s="4">
        <v>55</v>
      </c>
      <c r="AB110" s="4">
        <v>1098</v>
      </c>
      <c r="AC110" s="4">
        <v>403.5</v>
      </c>
      <c r="AD110" s="4">
        <v>57</v>
      </c>
      <c r="AE110" s="4">
        <v>1207</v>
      </c>
    </row>
    <row r="112" spans="2:31" ht="14.1" customHeight="1" x14ac:dyDescent="0.5">
      <c r="B112" t="s">
        <v>85</v>
      </c>
      <c r="C112" s="18" t="s">
        <v>73</v>
      </c>
      <c r="D112" s="20" t="s">
        <v>0</v>
      </c>
      <c r="E112" s="12" t="s">
        <v>1</v>
      </c>
      <c r="F112" s="13"/>
      <c r="G112" s="14"/>
      <c r="H112" s="12" t="s">
        <v>2</v>
      </c>
      <c r="I112" s="13"/>
      <c r="J112" s="14"/>
      <c r="K112" s="12" t="s">
        <v>3</v>
      </c>
      <c r="L112" s="13"/>
      <c r="M112" s="14"/>
      <c r="N112" s="12" t="s">
        <v>4</v>
      </c>
      <c r="O112" s="13"/>
      <c r="P112" s="14"/>
      <c r="Q112" s="12" t="s">
        <v>5</v>
      </c>
      <c r="R112" s="13"/>
      <c r="S112" s="14"/>
      <c r="T112" s="12" t="s">
        <v>6</v>
      </c>
      <c r="U112" s="13"/>
      <c r="V112" s="14"/>
      <c r="W112" s="12" t="s">
        <v>7</v>
      </c>
      <c r="X112" s="13"/>
      <c r="Y112" s="14"/>
      <c r="Z112" s="12" t="s">
        <v>8</v>
      </c>
      <c r="AA112" s="13"/>
      <c r="AB112" s="14"/>
      <c r="AC112" s="15" t="s">
        <v>75</v>
      </c>
      <c r="AD112" s="16"/>
      <c r="AE112" s="17"/>
    </row>
    <row r="113" spans="2:31" x14ac:dyDescent="0.5">
      <c r="C113" s="19"/>
      <c r="D113" s="21"/>
      <c r="E113" s="8" t="s">
        <v>9</v>
      </c>
      <c r="F113" s="8" t="s">
        <v>10</v>
      </c>
      <c r="G113" s="8" t="s">
        <v>11</v>
      </c>
      <c r="H113" s="8" t="s">
        <v>9</v>
      </c>
      <c r="I113" s="8" t="s">
        <v>10</v>
      </c>
      <c r="J113" s="8" t="s">
        <v>11</v>
      </c>
      <c r="K113" s="8" t="s">
        <v>9</v>
      </c>
      <c r="L113" s="8" t="s">
        <v>10</v>
      </c>
      <c r="M113" s="8" t="s">
        <v>11</v>
      </c>
      <c r="N113" s="8" t="s">
        <v>9</v>
      </c>
      <c r="O113" s="8" t="s">
        <v>10</v>
      </c>
      <c r="P113" s="8" t="s">
        <v>11</v>
      </c>
      <c r="Q113" s="8" t="s">
        <v>9</v>
      </c>
      <c r="R113" s="8" t="s">
        <v>10</v>
      </c>
      <c r="S113" s="8" t="s">
        <v>11</v>
      </c>
      <c r="T113" s="8" t="s">
        <v>9</v>
      </c>
      <c r="U113" s="8" t="s">
        <v>10</v>
      </c>
      <c r="V113" s="8" t="s">
        <v>11</v>
      </c>
      <c r="W113" s="8" t="s">
        <v>9</v>
      </c>
      <c r="X113" s="8" t="s">
        <v>10</v>
      </c>
      <c r="Y113" s="8" t="s">
        <v>11</v>
      </c>
      <c r="Z113" s="8" t="s">
        <v>9</v>
      </c>
      <c r="AA113" s="8" t="s">
        <v>10</v>
      </c>
      <c r="AB113" s="8" t="s">
        <v>11</v>
      </c>
      <c r="AC113" s="8" t="s">
        <v>12</v>
      </c>
      <c r="AD113" s="8" t="s">
        <v>13</v>
      </c>
      <c r="AE113" s="9" t="s">
        <v>11</v>
      </c>
    </row>
    <row r="114" spans="2:31" x14ac:dyDescent="0.5">
      <c r="C114" s="2" t="s">
        <v>36</v>
      </c>
      <c r="D114" s="3">
        <v>23</v>
      </c>
      <c r="E114" s="4">
        <v>91</v>
      </c>
      <c r="F114" s="4">
        <v>43</v>
      </c>
      <c r="G114" s="4">
        <v>914</v>
      </c>
      <c r="H114" s="4">
        <v>103</v>
      </c>
      <c r="I114" s="4">
        <v>17</v>
      </c>
      <c r="J114" s="4">
        <v>331</v>
      </c>
      <c r="K114" s="4">
        <v>130</v>
      </c>
      <c r="L114" s="4">
        <v>15</v>
      </c>
      <c r="M114" s="4">
        <v>378</v>
      </c>
      <c r="N114" s="4">
        <v>75</v>
      </c>
      <c r="O114" s="4">
        <v>19</v>
      </c>
      <c r="P114" s="4">
        <v>353</v>
      </c>
      <c r="Q114" s="4">
        <v>90</v>
      </c>
      <c r="R114" s="4">
        <v>6</v>
      </c>
      <c r="S114" s="4">
        <v>98</v>
      </c>
      <c r="T114" s="4">
        <v>90</v>
      </c>
      <c r="U114" s="4">
        <v>11</v>
      </c>
      <c r="V114" s="4">
        <v>161</v>
      </c>
      <c r="W114" s="4">
        <v>324</v>
      </c>
      <c r="X114" s="4">
        <v>25</v>
      </c>
      <c r="Y114" s="4">
        <v>430</v>
      </c>
      <c r="Z114" s="4">
        <v>255</v>
      </c>
      <c r="AA114" s="4">
        <v>15</v>
      </c>
      <c r="AB114" s="4">
        <v>214</v>
      </c>
      <c r="AC114" s="4">
        <v>579</v>
      </c>
      <c r="AD114" s="4">
        <v>17</v>
      </c>
      <c r="AE114" s="4">
        <v>285</v>
      </c>
    </row>
    <row r="115" spans="2:31" x14ac:dyDescent="0.5">
      <c r="C115" s="2" t="s">
        <v>36</v>
      </c>
      <c r="D115" s="3">
        <v>23</v>
      </c>
      <c r="E115" s="4">
        <v>91</v>
      </c>
      <c r="F115" s="4">
        <v>43</v>
      </c>
      <c r="G115" s="4">
        <v>914</v>
      </c>
      <c r="H115" s="4">
        <v>103</v>
      </c>
      <c r="I115" s="4">
        <v>17</v>
      </c>
      <c r="J115" s="4">
        <v>331</v>
      </c>
      <c r="K115" s="4">
        <v>130</v>
      </c>
      <c r="L115" s="4">
        <v>15</v>
      </c>
      <c r="M115" s="4">
        <v>378</v>
      </c>
      <c r="N115" s="4">
        <v>75</v>
      </c>
      <c r="O115" s="4">
        <v>19</v>
      </c>
      <c r="P115" s="4">
        <v>353</v>
      </c>
      <c r="Q115" s="4">
        <v>90</v>
      </c>
      <c r="R115" s="4">
        <v>6</v>
      </c>
      <c r="S115" s="4">
        <v>98</v>
      </c>
      <c r="T115" s="4">
        <v>90</v>
      </c>
      <c r="U115" s="4">
        <v>11</v>
      </c>
      <c r="V115" s="4">
        <v>161</v>
      </c>
      <c r="W115" s="4">
        <v>324</v>
      </c>
      <c r="X115" s="4">
        <v>25</v>
      </c>
      <c r="Y115" s="4">
        <v>430</v>
      </c>
      <c r="Z115" s="4">
        <v>255</v>
      </c>
      <c r="AA115" s="4">
        <v>15</v>
      </c>
      <c r="AB115" s="4">
        <v>214</v>
      </c>
      <c r="AC115" s="4">
        <v>579</v>
      </c>
      <c r="AD115" s="4">
        <v>17</v>
      </c>
      <c r="AE115" s="4">
        <v>285</v>
      </c>
    </row>
    <row r="117" spans="2:31" ht="14.1" customHeight="1" x14ac:dyDescent="0.5">
      <c r="B117" t="s">
        <v>85</v>
      </c>
      <c r="C117" s="18" t="s">
        <v>73</v>
      </c>
      <c r="D117" s="20" t="s">
        <v>0</v>
      </c>
      <c r="E117" s="12" t="s">
        <v>1</v>
      </c>
      <c r="F117" s="13"/>
      <c r="G117" s="14"/>
      <c r="H117" s="12" t="s">
        <v>2</v>
      </c>
      <c r="I117" s="13"/>
      <c r="J117" s="14"/>
      <c r="K117" s="12" t="s">
        <v>3</v>
      </c>
      <c r="L117" s="13"/>
      <c r="M117" s="14"/>
      <c r="N117" s="12" t="s">
        <v>4</v>
      </c>
      <c r="O117" s="13"/>
      <c r="P117" s="14"/>
      <c r="Q117" s="12" t="s">
        <v>5</v>
      </c>
      <c r="R117" s="13"/>
      <c r="S117" s="14"/>
      <c r="T117" s="12" t="s">
        <v>6</v>
      </c>
      <c r="U117" s="13"/>
      <c r="V117" s="14"/>
      <c r="W117" s="12" t="s">
        <v>7</v>
      </c>
      <c r="X117" s="13"/>
      <c r="Y117" s="14"/>
      <c r="Z117" s="12" t="s">
        <v>8</v>
      </c>
      <c r="AA117" s="13"/>
      <c r="AB117" s="14"/>
      <c r="AC117" s="15" t="s">
        <v>75</v>
      </c>
      <c r="AD117" s="16"/>
      <c r="AE117" s="17"/>
    </row>
    <row r="118" spans="2:31" x14ac:dyDescent="0.5">
      <c r="C118" s="19"/>
      <c r="D118" s="21"/>
      <c r="E118" s="8" t="s">
        <v>9</v>
      </c>
      <c r="F118" s="8" t="s">
        <v>10</v>
      </c>
      <c r="G118" s="8" t="s">
        <v>11</v>
      </c>
      <c r="H118" s="8" t="s">
        <v>9</v>
      </c>
      <c r="I118" s="8" t="s">
        <v>10</v>
      </c>
      <c r="J118" s="8" t="s">
        <v>11</v>
      </c>
      <c r="K118" s="8" t="s">
        <v>9</v>
      </c>
      <c r="L118" s="8" t="s">
        <v>10</v>
      </c>
      <c r="M118" s="8" t="s">
        <v>11</v>
      </c>
      <c r="N118" s="8" t="s">
        <v>9</v>
      </c>
      <c r="O118" s="8" t="s">
        <v>10</v>
      </c>
      <c r="P118" s="8" t="s">
        <v>11</v>
      </c>
      <c r="Q118" s="8" t="s">
        <v>9</v>
      </c>
      <c r="R118" s="8" t="s">
        <v>10</v>
      </c>
      <c r="S118" s="8" t="s">
        <v>11</v>
      </c>
      <c r="T118" s="8" t="s">
        <v>9</v>
      </c>
      <c r="U118" s="8" t="s">
        <v>10</v>
      </c>
      <c r="V118" s="8" t="s">
        <v>11</v>
      </c>
      <c r="W118" s="8" t="s">
        <v>9</v>
      </c>
      <c r="X118" s="8" t="s">
        <v>10</v>
      </c>
      <c r="Y118" s="8" t="s">
        <v>11</v>
      </c>
      <c r="Z118" s="8" t="s">
        <v>9</v>
      </c>
      <c r="AA118" s="8" t="s">
        <v>10</v>
      </c>
      <c r="AB118" s="8" t="s">
        <v>11</v>
      </c>
      <c r="AC118" s="8" t="s">
        <v>12</v>
      </c>
      <c r="AD118" s="8" t="s">
        <v>13</v>
      </c>
      <c r="AE118" s="9" t="s">
        <v>11</v>
      </c>
    </row>
    <row r="119" spans="2:31" x14ac:dyDescent="0.5">
      <c r="C119" s="2" t="s">
        <v>37</v>
      </c>
      <c r="D119" s="3">
        <v>24</v>
      </c>
      <c r="E119" s="4">
        <v>85</v>
      </c>
      <c r="F119" s="4">
        <v>49</v>
      </c>
      <c r="G119" s="4">
        <v>1148</v>
      </c>
      <c r="H119" s="4">
        <v>77</v>
      </c>
      <c r="I119" s="4">
        <v>44</v>
      </c>
      <c r="J119" s="4">
        <v>854</v>
      </c>
      <c r="K119" s="4">
        <v>130.5</v>
      </c>
      <c r="L119" s="4">
        <v>14</v>
      </c>
      <c r="M119" s="4">
        <v>363</v>
      </c>
      <c r="N119" s="4">
        <v>39</v>
      </c>
      <c r="O119" s="4">
        <v>53</v>
      </c>
      <c r="P119" s="4">
        <v>1136</v>
      </c>
      <c r="Q119" s="4">
        <v>64</v>
      </c>
      <c r="R119" s="4">
        <v>48</v>
      </c>
      <c r="S119" s="4">
        <v>928</v>
      </c>
      <c r="T119" s="4">
        <v>80</v>
      </c>
      <c r="U119" s="4">
        <v>33</v>
      </c>
      <c r="V119" s="4">
        <v>497</v>
      </c>
      <c r="W119" s="4">
        <v>292.5</v>
      </c>
      <c r="X119" s="4">
        <v>40</v>
      </c>
      <c r="Y119" s="4">
        <v>821</v>
      </c>
      <c r="Z119" s="4">
        <v>183</v>
      </c>
      <c r="AA119" s="4">
        <v>47</v>
      </c>
      <c r="AB119" s="4">
        <v>907</v>
      </c>
      <c r="AC119" s="4">
        <v>475.5</v>
      </c>
      <c r="AD119" s="4">
        <v>45</v>
      </c>
      <c r="AE119" s="4">
        <v>878</v>
      </c>
    </row>
    <row r="120" spans="2:31" x14ac:dyDescent="0.5">
      <c r="C120" s="2" t="s">
        <v>37</v>
      </c>
      <c r="D120" s="3">
        <v>24</v>
      </c>
      <c r="E120" s="4">
        <v>85</v>
      </c>
      <c r="F120" s="4">
        <v>49</v>
      </c>
      <c r="G120" s="4">
        <v>1148</v>
      </c>
      <c r="H120" s="4">
        <v>77</v>
      </c>
      <c r="I120" s="4">
        <v>44</v>
      </c>
      <c r="J120" s="4">
        <v>854</v>
      </c>
      <c r="K120" s="4">
        <v>130.5</v>
      </c>
      <c r="L120" s="4">
        <v>14</v>
      </c>
      <c r="M120" s="4">
        <v>363</v>
      </c>
      <c r="N120" s="4">
        <v>39</v>
      </c>
      <c r="O120" s="4">
        <v>53</v>
      </c>
      <c r="P120" s="4">
        <v>1136</v>
      </c>
      <c r="Q120" s="4">
        <v>64</v>
      </c>
      <c r="R120" s="4">
        <v>48</v>
      </c>
      <c r="S120" s="4">
        <v>928</v>
      </c>
      <c r="T120" s="4">
        <v>80</v>
      </c>
      <c r="U120" s="4">
        <v>33</v>
      </c>
      <c r="V120" s="4">
        <v>497</v>
      </c>
      <c r="W120" s="4">
        <v>292.5</v>
      </c>
      <c r="X120" s="4">
        <v>40</v>
      </c>
      <c r="Y120" s="4">
        <v>821</v>
      </c>
      <c r="Z120" s="4">
        <v>183</v>
      </c>
      <c r="AA120" s="4">
        <v>47</v>
      </c>
      <c r="AB120" s="4">
        <v>907</v>
      </c>
      <c r="AC120" s="4">
        <v>475.5</v>
      </c>
      <c r="AD120" s="4">
        <v>45</v>
      </c>
      <c r="AE120" s="4">
        <v>878</v>
      </c>
    </row>
    <row r="122" spans="2:31" ht="14.1" customHeight="1" x14ac:dyDescent="0.5">
      <c r="B122" t="s">
        <v>85</v>
      </c>
      <c r="C122" s="18" t="s">
        <v>73</v>
      </c>
      <c r="D122" s="20" t="s">
        <v>0</v>
      </c>
      <c r="E122" s="12" t="s">
        <v>1</v>
      </c>
      <c r="F122" s="13"/>
      <c r="G122" s="14"/>
      <c r="H122" s="12" t="s">
        <v>2</v>
      </c>
      <c r="I122" s="13"/>
      <c r="J122" s="14"/>
      <c r="K122" s="12" t="s">
        <v>3</v>
      </c>
      <c r="L122" s="13"/>
      <c r="M122" s="14"/>
      <c r="N122" s="12" t="s">
        <v>4</v>
      </c>
      <c r="O122" s="13"/>
      <c r="P122" s="14"/>
      <c r="Q122" s="12" t="s">
        <v>5</v>
      </c>
      <c r="R122" s="13"/>
      <c r="S122" s="14"/>
      <c r="T122" s="12" t="s">
        <v>6</v>
      </c>
      <c r="U122" s="13"/>
      <c r="V122" s="14"/>
      <c r="W122" s="12" t="s">
        <v>7</v>
      </c>
      <c r="X122" s="13"/>
      <c r="Y122" s="14"/>
      <c r="Z122" s="12" t="s">
        <v>8</v>
      </c>
      <c r="AA122" s="13"/>
      <c r="AB122" s="14"/>
      <c r="AC122" s="15" t="s">
        <v>75</v>
      </c>
      <c r="AD122" s="16"/>
      <c r="AE122" s="17"/>
    </row>
    <row r="123" spans="2:31" x14ac:dyDescent="0.5">
      <c r="C123" s="19"/>
      <c r="D123" s="21"/>
      <c r="E123" s="8" t="s">
        <v>9</v>
      </c>
      <c r="F123" s="8" t="s">
        <v>10</v>
      </c>
      <c r="G123" s="8" t="s">
        <v>11</v>
      </c>
      <c r="H123" s="8" t="s">
        <v>9</v>
      </c>
      <c r="I123" s="8" t="s">
        <v>10</v>
      </c>
      <c r="J123" s="8" t="s">
        <v>11</v>
      </c>
      <c r="K123" s="8" t="s">
        <v>9</v>
      </c>
      <c r="L123" s="8" t="s">
        <v>10</v>
      </c>
      <c r="M123" s="8" t="s">
        <v>11</v>
      </c>
      <c r="N123" s="8" t="s">
        <v>9</v>
      </c>
      <c r="O123" s="8" t="s">
        <v>10</v>
      </c>
      <c r="P123" s="8" t="s">
        <v>11</v>
      </c>
      <c r="Q123" s="8" t="s">
        <v>9</v>
      </c>
      <c r="R123" s="8" t="s">
        <v>10</v>
      </c>
      <c r="S123" s="8" t="s">
        <v>11</v>
      </c>
      <c r="T123" s="8" t="s">
        <v>9</v>
      </c>
      <c r="U123" s="8" t="s">
        <v>10</v>
      </c>
      <c r="V123" s="8" t="s">
        <v>11</v>
      </c>
      <c r="W123" s="8" t="s">
        <v>9</v>
      </c>
      <c r="X123" s="8" t="s">
        <v>10</v>
      </c>
      <c r="Y123" s="8" t="s">
        <v>11</v>
      </c>
      <c r="Z123" s="8" t="s">
        <v>9</v>
      </c>
      <c r="AA123" s="8" t="s">
        <v>10</v>
      </c>
      <c r="AB123" s="8" t="s">
        <v>11</v>
      </c>
      <c r="AC123" s="8" t="s">
        <v>12</v>
      </c>
      <c r="AD123" s="8" t="s">
        <v>13</v>
      </c>
      <c r="AE123" s="9" t="s">
        <v>11</v>
      </c>
    </row>
    <row r="124" spans="2:31" x14ac:dyDescent="0.5">
      <c r="C124" s="2" t="s">
        <v>38</v>
      </c>
      <c r="D124" s="3">
        <v>25</v>
      </c>
      <c r="E124" s="4">
        <v>91</v>
      </c>
      <c r="F124" s="4">
        <v>43</v>
      </c>
      <c r="G124" s="4">
        <v>914</v>
      </c>
      <c r="H124" s="4">
        <v>123</v>
      </c>
      <c r="I124" s="4">
        <v>4</v>
      </c>
      <c r="J124" s="4">
        <v>81</v>
      </c>
      <c r="K124" s="4">
        <v>128.5</v>
      </c>
      <c r="L124" s="4">
        <v>21</v>
      </c>
      <c r="M124" s="4">
        <v>441</v>
      </c>
      <c r="N124" s="4">
        <v>98</v>
      </c>
      <c r="O124" s="4">
        <v>5</v>
      </c>
      <c r="P124" s="4">
        <v>53</v>
      </c>
      <c r="Q124" s="4">
        <v>80</v>
      </c>
      <c r="R124" s="4">
        <v>25</v>
      </c>
      <c r="S124" s="4">
        <v>411</v>
      </c>
      <c r="T124" s="4">
        <v>87</v>
      </c>
      <c r="U124" s="4">
        <v>16</v>
      </c>
      <c r="V124" s="4">
        <v>268</v>
      </c>
      <c r="W124" s="4">
        <v>342.5</v>
      </c>
      <c r="X124" s="4">
        <v>7</v>
      </c>
      <c r="Y124" s="4">
        <v>208</v>
      </c>
      <c r="Z124" s="4">
        <v>265</v>
      </c>
      <c r="AA124" s="4">
        <v>8</v>
      </c>
      <c r="AB124" s="4">
        <v>130</v>
      </c>
      <c r="AC124" s="4">
        <v>607.5</v>
      </c>
      <c r="AD124" s="4">
        <v>6</v>
      </c>
      <c r="AE124" s="4">
        <v>156</v>
      </c>
    </row>
    <row r="125" spans="2:31" x14ac:dyDescent="0.5">
      <c r="C125" s="2" t="s">
        <v>38</v>
      </c>
      <c r="D125" s="3">
        <v>25</v>
      </c>
      <c r="E125" s="4">
        <v>91</v>
      </c>
      <c r="F125" s="4">
        <v>43</v>
      </c>
      <c r="G125" s="4">
        <v>914</v>
      </c>
      <c r="H125" s="4">
        <v>123</v>
      </c>
      <c r="I125" s="4">
        <v>4</v>
      </c>
      <c r="J125" s="4">
        <v>81</v>
      </c>
      <c r="K125" s="4">
        <v>128.5</v>
      </c>
      <c r="L125" s="4">
        <v>21</v>
      </c>
      <c r="M125" s="4">
        <v>441</v>
      </c>
      <c r="N125" s="4">
        <v>98</v>
      </c>
      <c r="O125" s="4">
        <v>5</v>
      </c>
      <c r="P125" s="4">
        <v>53</v>
      </c>
      <c r="Q125" s="4">
        <v>80</v>
      </c>
      <c r="R125" s="4">
        <v>25</v>
      </c>
      <c r="S125" s="4">
        <v>411</v>
      </c>
      <c r="T125" s="4">
        <v>87</v>
      </c>
      <c r="U125" s="4">
        <v>16</v>
      </c>
      <c r="V125" s="4">
        <v>268</v>
      </c>
      <c r="W125" s="4">
        <v>342.5</v>
      </c>
      <c r="X125" s="4">
        <v>7</v>
      </c>
      <c r="Y125" s="4">
        <v>208</v>
      </c>
      <c r="Z125" s="4">
        <v>265</v>
      </c>
      <c r="AA125" s="4">
        <v>8</v>
      </c>
      <c r="AB125" s="4">
        <v>130</v>
      </c>
      <c r="AC125" s="4">
        <v>607.5</v>
      </c>
      <c r="AD125" s="4">
        <v>6</v>
      </c>
      <c r="AE125" s="4">
        <v>156</v>
      </c>
    </row>
    <row r="127" spans="2:31" ht="14.1" customHeight="1" x14ac:dyDescent="0.5">
      <c r="B127" t="s">
        <v>85</v>
      </c>
      <c r="C127" s="18" t="s">
        <v>73</v>
      </c>
      <c r="D127" s="20" t="s">
        <v>0</v>
      </c>
      <c r="E127" s="12" t="s">
        <v>1</v>
      </c>
      <c r="F127" s="13"/>
      <c r="G127" s="14"/>
      <c r="H127" s="12" t="s">
        <v>2</v>
      </c>
      <c r="I127" s="13"/>
      <c r="J127" s="14"/>
      <c r="K127" s="12" t="s">
        <v>3</v>
      </c>
      <c r="L127" s="13"/>
      <c r="M127" s="14"/>
      <c r="N127" s="12" t="s">
        <v>4</v>
      </c>
      <c r="O127" s="13"/>
      <c r="P127" s="14"/>
      <c r="Q127" s="12" t="s">
        <v>5</v>
      </c>
      <c r="R127" s="13"/>
      <c r="S127" s="14"/>
      <c r="T127" s="12" t="s">
        <v>6</v>
      </c>
      <c r="U127" s="13"/>
      <c r="V127" s="14"/>
      <c r="W127" s="12" t="s">
        <v>7</v>
      </c>
      <c r="X127" s="13"/>
      <c r="Y127" s="14"/>
      <c r="Z127" s="12" t="s">
        <v>8</v>
      </c>
      <c r="AA127" s="13"/>
      <c r="AB127" s="14"/>
      <c r="AC127" s="15" t="s">
        <v>75</v>
      </c>
      <c r="AD127" s="16"/>
      <c r="AE127" s="17"/>
    </row>
    <row r="128" spans="2:31" x14ac:dyDescent="0.5">
      <c r="C128" s="19"/>
      <c r="D128" s="21"/>
      <c r="E128" s="8" t="s">
        <v>9</v>
      </c>
      <c r="F128" s="8" t="s">
        <v>10</v>
      </c>
      <c r="G128" s="8" t="s">
        <v>11</v>
      </c>
      <c r="H128" s="8" t="s">
        <v>9</v>
      </c>
      <c r="I128" s="8" t="s">
        <v>10</v>
      </c>
      <c r="J128" s="8" t="s">
        <v>11</v>
      </c>
      <c r="K128" s="8" t="s">
        <v>9</v>
      </c>
      <c r="L128" s="8" t="s">
        <v>10</v>
      </c>
      <c r="M128" s="8" t="s">
        <v>11</v>
      </c>
      <c r="N128" s="8" t="s">
        <v>9</v>
      </c>
      <c r="O128" s="8" t="s">
        <v>10</v>
      </c>
      <c r="P128" s="8" t="s">
        <v>11</v>
      </c>
      <c r="Q128" s="8" t="s">
        <v>9</v>
      </c>
      <c r="R128" s="8" t="s">
        <v>10</v>
      </c>
      <c r="S128" s="8" t="s">
        <v>11</v>
      </c>
      <c r="T128" s="8" t="s">
        <v>9</v>
      </c>
      <c r="U128" s="8" t="s">
        <v>10</v>
      </c>
      <c r="V128" s="8" t="s">
        <v>11</v>
      </c>
      <c r="W128" s="8" t="s">
        <v>9</v>
      </c>
      <c r="X128" s="8" t="s">
        <v>10</v>
      </c>
      <c r="Y128" s="8" t="s">
        <v>11</v>
      </c>
      <c r="Z128" s="8" t="s">
        <v>9</v>
      </c>
      <c r="AA128" s="8" t="s">
        <v>10</v>
      </c>
      <c r="AB128" s="8" t="s">
        <v>11</v>
      </c>
      <c r="AC128" s="8" t="s">
        <v>12</v>
      </c>
      <c r="AD128" s="8" t="s">
        <v>13</v>
      </c>
      <c r="AE128" s="9" t="s">
        <v>11</v>
      </c>
    </row>
    <row r="129" spans="2:31" x14ac:dyDescent="0.5">
      <c r="C129" s="2" t="s">
        <v>39</v>
      </c>
      <c r="D129" s="3">
        <v>26</v>
      </c>
      <c r="E129" s="4">
        <v>98</v>
      </c>
      <c r="F129" s="4">
        <v>28</v>
      </c>
      <c r="G129" s="4">
        <v>604</v>
      </c>
      <c r="H129" s="4">
        <v>87</v>
      </c>
      <c r="I129" s="4">
        <v>34</v>
      </c>
      <c r="J129" s="4">
        <v>660</v>
      </c>
      <c r="K129" s="4">
        <v>131.5</v>
      </c>
      <c r="L129" s="4">
        <v>13</v>
      </c>
      <c r="M129" s="4">
        <v>323</v>
      </c>
      <c r="N129" s="4">
        <v>60</v>
      </c>
      <c r="O129" s="4">
        <v>32</v>
      </c>
      <c r="P129" s="4">
        <v>683</v>
      </c>
      <c r="Q129" s="4">
        <v>75</v>
      </c>
      <c r="R129" s="4">
        <v>34</v>
      </c>
      <c r="S129" s="4">
        <v>590</v>
      </c>
      <c r="T129" s="4">
        <v>82</v>
      </c>
      <c r="U129" s="4">
        <v>30</v>
      </c>
      <c r="V129" s="4">
        <v>444</v>
      </c>
      <c r="W129" s="4">
        <v>316.5</v>
      </c>
      <c r="X129" s="4">
        <v>28</v>
      </c>
      <c r="Y129" s="4">
        <v>511</v>
      </c>
      <c r="Z129" s="4">
        <v>217</v>
      </c>
      <c r="AA129" s="4">
        <v>31</v>
      </c>
      <c r="AB129" s="4">
        <v>564</v>
      </c>
      <c r="AC129" s="4">
        <v>533.5</v>
      </c>
      <c r="AD129" s="4">
        <v>32</v>
      </c>
      <c r="AE129" s="4">
        <v>537</v>
      </c>
    </row>
    <row r="130" spans="2:31" x14ac:dyDescent="0.5">
      <c r="C130" s="2" t="s">
        <v>39</v>
      </c>
      <c r="D130" s="3">
        <v>26</v>
      </c>
      <c r="E130" s="4">
        <v>98</v>
      </c>
      <c r="F130" s="4">
        <v>28</v>
      </c>
      <c r="G130" s="4">
        <v>604</v>
      </c>
      <c r="H130" s="4">
        <v>87</v>
      </c>
      <c r="I130" s="4">
        <v>34</v>
      </c>
      <c r="J130" s="4">
        <v>660</v>
      </c>
      <c r="K130" s="4">
        <v>131.5</v>
      </c>
      <c r="L130" s="4">
        <v>13</v>
      </c>
      <c r="M130" s="4">
        <v>323</v>
      </c>
      <c r="N130" s="4">
        <v>60</v>
      </c>
      <c r="O130" s="4">
        <v>32</v>
      </c>
      <c r="P130" s="4">
        <v>683</v>
      </c>
      <c r="Q130" s="4">
        <v>75</v>
      </c>
      <c r="R130" s="4">
        <v>34</v>
      </c>
      <c r="S130" s="4">
        <v>590</v>
      </c>
      <c r="T130" s="4">
        <v>82</v>
      </c>
      <c r="U130" s="4">
        <v>30</v>
      </c>
      <c r="V130" s="4">
        <v>444</v>
      </c>
      <c r="W130" s="4">
        <v>316.5</v>
      </c>
      <c r="X130" s="4">
        <v>28</v>
      </c>
      <c r="Y130" s="4">
        <v>511</v>
      </c>
      <c r="Z130" s="4">
        <v>217</v>
      </c>
      <c r="AA130" s="4">
        <v>31</v>
      </c>
      <c r="AB130" s="4">
        <v>564</v>
      </c>
      <c r="AC130" s="4">
        <v>533.5</v>
      </c>
      <c r="AD130" s="4">
        <v>32</v>
      </c>
      <c r="AE130" s="4">
        <v>537</v>
      </c>
    </row>
    <row r="132" spans="2:31" ht="14.1" customHeight="1" x14ac:dyDescent="0.5">
      <c r="B132" t="s">
        <v>85</v>
      </c>
      <c r="C132" s="18" t="s">
        <v>73</v>
      </c>
      <c r="D132" s="20" t="s">
        <v>0</v>
      </c>
      <c r="E132" s="12" t="s">
        <v>1</v>
      </c>
      <c r="F132" s="13"/>
      <c r="G132" s="14"/>
      <c r="H132" s="12" t="s">
        <v>2</v>
      </c>
      <c r="I132" s="13"/>
      <c r="J132" s="14"/>
      <c r="K132" s="12" t="s">
        <v>3</v>
      </c>
      <c r="L132" s="13"/>
      <c r="M132" s="14"/>
      <c r="N132" s="12" t="s">
        <v>4</v>
      </c>
      <c r="O132" s="13"/>
      <c r="P132" s="14"/>
      <c r="Q132" s="12" t="s">
        <v>5</v>
      </c>
      <c r="R132" s="13"/>
      <c r="S132" s="14"/>
      <c r="T132" s="12" t="s">
        <v>6</v>
      </c>
      <c r="U132" s="13"/>
      <c r="V132" s="14"/>
      <c r="W132" s="12" t="s">
        <v>7</v>
      </c>
      <c r="X132" s="13"/>
      <c r="Y132" s="14"/>
      <c r="Z132" s="12" t="s">
        <v>8</v>
      </c>
      <c r="AA132" s="13"/>
      <c r="AB132" s="14"/>
      <c r="AC132" s="15" t="s">
        <v>75</v>
      </c>
      <c r="AD132" s="16"/>
      <c r="AE132" s="17"/>
    </row>
    <row r="133" spans="2:31" x14ac:dyDescent="0.5">
      <c r="C133" s="19"/>
      <c r="D133" s="21"/>
      <c r="E133" s="8" t="s">
        <v>9</v>
      </c>
      <c r="F133" s="8" t="s">
        <v>10</v>
      </c>
      <c r="G133" s="8" t="s">
        <v>11</v>
      </c>
      <c r="H133" s="8" t="s">
        <v>9</v>
      </c>
      <c r="I133" s="8" t="s">
        <v>10</v>
      </c>
      <c r="J133" s="8" t="s">
        <v>11</v>
      </c>
      <c r="K133" s="8" t="s">
        <v>9</v>
      </c>
      <c r="L133" s="8" t="s">
        <v>10</v>
      </c>
      <c r="M133" s="8" t="s">
        <v>11</v>
      </c>
      <c r="N133" s="8" t="s">
        <v>9</v>
      </c>
      <c r="O133" s="8" t="s">
        <v>10</v>
      </c>
      <c r="P133" s="8" t="s">
        <v>11</v>
      </c>
      <c r="Q133" s="8" t="s">
        <v>9</v>
      </c>
      <c r="R133" s="8" t="s">
        <v>10</v>
      </c>
      <c r="S133" s="8" t="s">
        <v>11</v>
      </c>
      <c r="T133" s="8" t="s">
        <v>9</v>
      </c>
      <c r="U133" s="8" t="s">
        <v>10</v>
      </c>
      <c r="V133" s="8" t="s">
        <v>11</v>
      </c>
      <c r="W133" s="8" t="s">
        <v>9</v>
      </c>
      <c r="X133" s="8" t="s">
        <v>10</v>
      </c>
      <c r="Y133" s="8" t="s">
        <v>11</v>
      </c>
      <c r="Z133" s="8" t="s">
        <v>9</v>
      </c>
      <c r="AA133" s="8" t="s">
        <v>10</v>
      </c>
      <c r="AB133" s="8" t="s">
        <v>11</v>
      </c>
      <c r="AC133" s="8" t="s">
        <v>12</v>
      </c>
      <c r="AD133" s="8" t="s">
        <v>13</v>
      </c>
      <c r="AE133" s="9" t="s">
        <v>11</v>
      </c>
    </row>
    <row r="134" spans="2:31" x14ac:dyDescent="0.5">
      <c r="C134" s="2" t="s">
        <v>40</v>
      </c>
      <c r="D134" s="3">
        <v>27</v>
      </c>
      <c r="E134" s="4">
        <v>101</v>
      </c>
      <c r="F134" s="4">
        <v>24</v>
      </c>
      <c r="G134" s="4">
        <v>457</v>
      </c>
      <c r="H134" s="4">
        <v>47</v>
      </c>
      <c r="I134" s="4">
        <v>59</v>
      </c>
      <c r="J134" s="4">
        <v>1346</v>
      </c>
      <c r="K134" s="4">
        <v>113</v>
      </c>
      <c r="L134" s="4">
        <v>48</v>
      </c>
      <c r="M134" s="4">
        <v>970</v>
      </c>
      <c r="N134" s="4">
        <v>37</v>
      </c>
      <c r="O134" s="4">
        <v>54</v>
      </c>
      <c r="P134" s="4">
        <v>1187</v>
      </c>
      <c r="Q134" s="4">
        <v>78</v>
      </c>
      <c r="R134" s="4">
        <v>28</v>
      </c>
      <c r="S134" s="4">
        <v>460</v>
      </c>
      <c r="T134" s="4">
        <v>77</v>
      </c>
      <c r="U134" s="4">
        <v>39</v>
      </c>
      <c r="V134" s="4">
        <v>602</v>
      </c>
      <c r="W134" s="4">
        <v>261</v>
      </c>
      <c r="X134" s="4">
        <v>55</v>
      </c>
      <c r="Y134" s="4">
        <v>1147</v>
      </c>
      <c r="Z134" s="4">
        <v>192</v>
      </c>
      <c r="AA134" s="4">
        <v>45</v>
      </c>
      <c r="AB134" s="4">
        <v>820</v>
      </c>
      <c r="AC134" s="4">
        <v>453</v>
      </c>
      <c r="AD134" s="4">
        <v>50</v>
      </c>
      <c r="AE134" s="4">
        <v>1001</v>
      </c>
    </row>
    <row r="135" spans="2:31" x14ac:dyDescent="0.5">
      <c r="C135" s="2" t="s">
        <v>40</v>
      </c>
      <c r="D135" s="3">
        <v>27</v>
      </c>
      <c r="E135" s="4">
        <v>101</v>
      </c>
      <c r="F135" s="4">
        <v>24</v>
      </c>
      <c r="G135" s="4">
        <v>457</v>
      </c>
      <c r="H135" s="4">
        <v>47</v>
      </c>
      <c r="I135" s="4">
        <v>59</v>
      </c>
      <c r="J135" s="4">
        <v>1346</v>
      </c>
      <c r="K135" s="4">
        <v>113</v>
      </c>
      <c r="L135" s="4">
        <v>48</v>
      </c>
      <c r="M135" s="4">
        <v>970</v>
      </c>
      <c r="N135" s="4">
        <v>37</v>
      </c>
      <c r="O135" s="4">
        <v>54</v>
      </c>
      <c r="P135" s="4">
        <v>1187</v>
      </c>
      <c r="Q135" s="4">
        <v>78</v>
      </c>
      <c r="R135" s="4">
        <v>28</v>
      </c>
      <c r="S135" s="4">
        <v>460</v>
      </c>
      <c r="T135" s="4">
        <v>77</v>
      </c>
      <c r="U135" s="4">
        <v>39</v>
      </c>
      <c r="V135" s="4">
        <v>602</v>
      </c>
      <c r="W135" s="4">
        <v>261</v>
      </c>
      <c r="X135" s="4">
        <v>55</v>
      </c>
      <c r="Y135" s="4">
        <v>1147</v>
      </c>
      <c r="Z135" s="4">
        <v>192</v>
      </c>
      <c r="AA135" s="4">
        <v>45</v>
      </c>
      <c r="AB135" s="4">
        <v>820</v>
      </c>
      <c r="AC135" s="4">
        <v>453</v>
      </c>
      <c r="AD135" s="4">
        <v>50</v>
      </c>
      <c r="AE135" s="4">
        <v>1001</v>
      </c>
    </row>
    <row r="137" spans="2:31" ht="14.1" customHeight="1" x14ac:dyDescent="0.5">
      <c r="B137" t="s">
        <v>85</v>
      </c>
      <c r="C137" s="18" t="s">
        <v>73</v>
      </c>
      <c r="D137" s="20" t="s">
        <v>0</v>
      </c>
      <c r="E137" s="12" t="s">
        <v>1</v>
      </c>
      <c r="F137" s="13"/>
      <c r="G137" s="14"/>
      <c r="H137" s="12" t="s">
        <v>2</v>
      </c>
      <c r="I137" s="13"/>
      <c r="J137" s="14"/>
      <c r="K137" s="12" t="s">
        <v>3</v>
      </c>
      <c r="L137" s="13"/>
      <c r="M137" s="14"/>
      <c r="N137" s="12" t="s">
        <v>4</v>
      </c>
      <c r="O137" s="13"/>
      <c r="P137" s="14"/>
      <c r="Q137" s="12" t="s">
        <v>5</v>
      </c>
      <c r="R137" s="13"/>
      <c r="S137" s="14"/>
      <c r="T137" s="12" t="s">
        <v>6</v>
      </c>
      <c r="U137" s="13"/>
      <c r="V137" s="14"/>
      <c r="W137" s="12" t="s">
        <v>7</v>
      </c>
      <c r="X137" s="13"/>
      <c r="Y137" s="14"/>
      <c r="Z137" s="12" t="s">
        <v>8</v>
      </c>
      <c r="AA137" s="13"/>
      <c r="AB137" s="14"/>
      <c r="AC137" s="15" t="s">
        <v>75</v>
      </c>
      <c r="AD137" s="16"/>
      <c r="AE137" s="17"/>
    </row>
    <row r="138" spans="2:31" x14ac:dyDescent="0.5">
      <c r="C138" s="19"/>
      <c r="D138" s="21"/>
      <c r="E138" s="8" t="s">
        <v>9</v>
      </c>
      <c r="F138" s="8" t="s">
        <v>10</v>
      </c>
      <c r="G138" s="8" t="s">
        <v>11</v>
      </c>
      <c r="H138" s="8" t="s">
        <v>9</v>
      </c>
      <c r="I138" s="8" t="s">
        <v>10</v>
      </c>
      <c r="J138" s="8" t="s">
        <v>11</v>
      </c>
      <c r="K138" s="8" t="s">
        <v>9</v>
      </c>
      <c r="L138" s="8" t="s">
        <v>10</v>
      </c>
      <c r="M138" s="8" t="s">
        <v>11</v>
      </c>
      <c r="N138" s="8" t="s">
        <v>9</v>
      </c>
      <c r="O138" s="8" t="s">
        <v>10</v>
      </c>
      <c r="P138" s="8" t="s">
        <v>11</v>
      </c>
      <c r="Q138" s="8" t="s">
        <v>9</v>
      </c>
      <c r="R138" s="8" t="s">
        <v>10</v>
      </c>
      <c r="S138" s="8" t="s">
        <v>11</v>
      </c>
      <c r="T138" s="8" t="s">
        <v>9</v>
      </c>
      <c r="U138" s="8" t="s">
        <v>10</v>
      </c>
      <c r="V138" s="8" t="s">
        <v>11</v>
      </c>
      <c r="W138" s="8" t="s">
        <v>9</v>
      </c>
      <c r="X138" s="8" t="s">
        <v>10</v>
      </c>
      <c r="Y138" s="8" t="s">
        <v>11</v>
      </c>
      <c r="Z138" s="8" t="s">
        <v>9</v>
      </c>
      <c r="AA138" s="8" t="s">
        <v>10</v>
      </c>
      <c r="AB138" s="8" t="s">
        <v>11</v>
      </c>
      <c r="AC138" s="8" t="s">
        <v>12</v>
      </c>
      <c r="AD138" s="8" t="s">
        <v>13</v>
      </c>
      <c r="AE138" s="9" t="s">
        <v>11</v>
      </c>
    </row>
    <row r="139" spans="2:31" x14ac:dyDescent="0.5">
      <c r="C139" s="2" t="s">
        <v>41</v>
      </c>
      <c r="D139" s="3">
        <v>28</v>
      </c>
      <c r="E139" s="4">
        <v>81</v>
      </c>
      <c r="F139" s="4">
        <v>52</v>
      </c>
      <c r="G139" s="4">
        <v>1254</v>
      </c>
      <c r="H139" s="4">
        <v>83</v>
      </c>
      <c r="I139" s="4">
        <v>37</v>
      </c>
      <c r="J139" s="4">
        <v>740</v>
      </c>
      <c r="K139" s="4">
        <v>112.5</v>
      </c>
      <c r="L139" s="4">
        <v>50</v>
      </c>
      <c r="M139" s="4">
        <v>986</v>
      </c>
      <c r="N139" s="4">
        <v>75</v>
      </c>
      <c r="O139" s="4">
        <v>19</v>
      </c>
      <c r="P139" s="4">
        <v>353</v>
      </c>
      <c r="Q139" s="4">
        <v>71</v>
      </c>
      <c r="R139" s="4">
        <v>39</v>
      </c>
      <c r="S139" s="4">
        <v>726</v>
      </c>
      <c r="T139" s="4">
        <v>77</v>
      </c>
      <c r="U139" s="4">
        <v>39</v>
      </c>
      <c r="V139" s="4">
        <v>602</v>
      </c>
      <c r="W139" s="4">
        <v>276.5</v>
      </c>
      <c r="X139" s="4">
        <v>50</v>
      </c>
      <c r="Y139" s="4">
        <v>1007</v>
      </c>
      <c r="Z139" s="4">
        <v>223</v>
      </c>
      <c r="AA139" s="4">
        <v>28</v>
      </c>
      <c r="AB139" s="4">
        <v>504</v>
      </c>
      <c r="AC139" s="4">
        <v>499.5</v>
      </c>
      <c r="AD139" s="4">
        <v>40</v>
      </c>
      <c r="AE139" s="4">
        <v>731</v>
      </c>
    </row>
    <row r="140" spans="2:31" x14ac:dyDescent="0.5">
      <c r="C140" s="2" t="s">
        <v>41</v>
      </c>
      <c r="D140" s="3">
        <v>28</v>
      </c>
      <c r="E140" s="4">
        <v>81</v>
      </c>
      <c r="F140" s="4">
        <v>52</v>
      </c>
      <c r="G140" s="4">
        <v>1254</v>
      </c>
      <c r="H140" s="4">
        <v>83</v>
      </c>
      <c r="I140" s="4">
        <v>37</v>
      </c>
      <c r="J140" s="4">
        <v>740</v>
      </c>
      <c r="K140" s="4">
        <v>112.5</v>
      </c>
      <c r="L140" s="4">
        <v>50</v>
      </c>
      <c r="M140" s="4">
        <v>986</v>
      </c>
      <c r="N140" s="4">
        <v>75</v>
      </c>
      <c r="O140" s="4">
        <v>19</v>
      </c>
      <c r="P140" s="4">
        <v>353</v>
      </c>
      <c r="Q140" s="4">
        <v>71</v>
      </c>
      <c r="R140" s="4">
        <v>39</v>
      </c>
      <c r="S140" s="4">
        <v>726</v>
      </c>
      <c r="T140" s="4">
        <v>77</v>
      </c>
      <c r="U140" s="4">
        <v>39</v>
      </c>
      <c r="V140" s="4">
        <v>602</v>
      </c>
      <c r="W140" s="4">
        <v>276.5</v>
      </c>
      <c r="X140" s="4">
        <v>50</v>
      </c>
      <c r="Y140" s="4">
        <v>1007</v>
      </c>
      <c r="Z140" s="4">
        <v>223</v>
      </c>
      <c r="AA140" s="4">
        <v>28</v>
      </c>
      <c r="AB140" s="4">
        <v>504</v>
      </c>
      <c r="AC140" s="4">
        <v>499.5</v>
      </c>
      <c r="AD140" s="4">
        <v>40</v>
      </c>
      <c r="AE140" s="4">
        <v>731</v>
      </c>
    </row>
    <row r="142" spans="2:31" ht="14.1" customHeight="1" x14ac:dyDescent="0.5">
      <c r="B142" t="s">
        <v>85</v>
      </c>
      <c r="C142" s="18" t="s">
        <v>73</v>
      </c>
      <c r="D142" s="20" t="s">
        <v>0</v>
      </c>
      <c r="E142" s="12" t="s">
        <v>1</v>
      </c>
      <c r="F142" s="13"/>
      <c r="G142" s="14"/>
      <c r="H142" s="12" t="s">
        <v>2</v>
      </c>
      <c r="I142" s="13"/>
      <c r="J142" s="14"/>
      <c r="K142" s="12" t="s">
        <v>3</v>
      </c>
      <c r="L142" s="13"/>
      <c r="M142" s="14"/>
      <c r="N142" s="12" t="s">
        <v>4</v>
      </c>
      <c r="O142" s="13"/>
      <c r="P142" s="14"/>
      <c r="Q142" s="12" t="s">
        <v>5</v>
      </c>
      <c r="R142" s="13"/>
      <c r="S142" s="14"/>
      <c r="T142" s="12" t="s">
        <v>6</v>
      </c>
      <c r="U142" s="13"/>
      <c r="V142" s="14"/>
      <c r="W142" s="12" t="s">
        <v>7</v>
      </c>
      <c r="X142" s="13"/>
      <c r="Y142" s="14"/>
      <c r="Z142" s="12" t="s">
        <v>8</v>
      </c>
      <c r="AA142" s="13"/>
      <c r="AB142" s="14"/>
      <c r="AC142" s="15" t="s">
        <v>75</v>
      </c>
      <c r="AD142" s="16"/>
      <c r="AE142" s="17"/>
    </row>
    <row r="143" spans="2:31" x14ac:dyDescent="0.5">
      <c r="C143" s="19"/>
      <c r="D143" s="21"/>
      <c r="E143" s="8" t="s">
        <v>9</v>
      </c>
      <c r="F143" s="8" t="s">
        <v>10</v>
      </c>
      <c r="G143" s="8" t="s">
        <v>11</v>
      </c>
      <c r="H143" s="8" t="s">
        <v>9</v>
      </c>
      <c r="I143" s="8" t="s">
        <v>10</v>
      </c>
      <c r="J143" s="8" t="s">
        <v>11</v>
      </c>
      <c r="K143" s="8" t="s">
        <v>9</v>
      </c>
      <c r="L143" s="8" t="s">
        <v>10</v>
      </c>
      <c r="M143" s="8" t="s">
        <v>11</v>
      </c>
      <c r="N143" s="8" t="s">
        <v>9</v>
      </c>
      <c r="O143" s="8" t="s">
        <v>10</v>
      </c>
      <c r="P143" s="8" t="s">
        <v>11</v>
      </c>
      <c r="Q143" s="8" t="s">
        <v>9</v>
      </c>
      <c r="R143" s="8" t="s">
        <v>10</v>
      </c>
      <c r="S143" s="8" t="s">
        <v>11</v>
      </c>
      <c r="T143" s="8" t="s">
        <v>9</v>
      </c>
      <c r="U143" s="8" t="s">
        <v>10</v>
      </c>
      <c r="V143" s="8" t="s">
        <v>11</v>
      </c>
      <c r="W143" s="8" t="s">
        <v>9</v>
      </c>
      <c r="X143" s="8" t="s">
        <v>10</v>
      </c>
      <c r="Y143" s="8" t="s">
        <v>11</v>
      </c>
      <c r="Z143" s="8" t="s">
        <v>9</v>
      </c>
      <c r="AA143" s="8" t="s">
        <v>10</v>
      </c>
      <c r="AB143" s="8" t="s">
        <v>11</v>
      </c>
      <c r="AC143" s="8" t="s">
        <v>12</v>
      </c>
      <c r="AD143" s="8" t="s">
        <v>13</v>
      </c>
      <c r="AE143" s="9" t="s">
        <v>11</v>
      </c>
    </row>
    <row r="144" spans="2:31" x14ac:dyDescent="0.5">
      <c r="C144" s="2" t="s">
        <v>42</v>
      </c>
      <c r="D144" s="3">
        <v>29</v>
      </c>
      <c r="E144" s="4">
        <v>100</v>
      </c>
      <c r="F144" s="4">
        <v>26</v>
      </c>
      <c r="G144" s="4">
        <v>499</v>
      </c>
      <c r="H144" s="4">
        <v>96</v>
      </c>
      <c r="I144" s="4">
        <v>21</v>
      </c>
      <c r="J144" s="4">
        <v>459</v>
      </c>
      <c r="K144" s="4">
        <v>128.5</v>
      </c>
      <c r="L144" s="4">
        <v>21</v>
      </c>
      <c r="M144" s="4">
        <v>441</v>
      </c>
      <c r="N144" s="4">
        <v>83</v>
      </c>
      <c r="O144" s="4">
        <v>11</v>
      </c>
      <c r="P144" s="4">
        <v>213</v>
      </c>
      <c r="Q144" s="4">
        <v>84</v>
      </c>
      <c r="R144" s="4">
        <v>18</v>
      </c>
      <c r="S144" s="4">
        <v>279</v>
      </c>
      <c r="T144" s="4">
        <v>93</v>
      </c>
      <c r="U144" s="4">
        <v>7</v>
      </c>
      <c r="V144" s="4">
        <v>69</v>
      </c>
      <c r="W144" s="4">
        <v>324.5</v>
      </c>
      <c r="X144" s="4">
        <v>24</v>
      </c>
      <c r="Y144" s="4">
        <v>424</v>
      </c>
      <c r="Z144" s="4">
        <v>260</v>
      </c>
      <c r="AA144" s="4">
        <v>12</v>
      </c>
      <c r="AB144" s="4">
        <v>169</v>
      </c>
      <c r="AC144" s="4">
        <v>584.5</v>
      </c>
      <c r="AD144" s="4">
        <v>14</v>
      </c>
      <c r="AE144" s="4">
        <v>257</v>
      </c>
    </row>
    <row r="145" spans="2:31" x14ac:dyDescent="0.5">
      <c r="C145" s="2" t="s">
        <v>42</v>
      </c>
      <c r="D145" s="3">
        <v>29</v>
      </c>
      <c r="E145" s="4">
        <v>100</v>
      </c>
      <c r="F145" s="4">
        <v>26</v>
      </c>
      <c r="G145" s="4">
        <v>499</v>
      </c>
      <c r="H145" s="4">
        <v>96</v>
      </c>
      <c r="I145" s="4">
        <v>21</v>
      </c>
      <c r="J145" s="4">
        <v>459</v>
      </c>
      <c r="K145" s="4">
        <v>128.5</v>
      </c>
      <c r="L145" s="4">
        <v>21</v>
      </c>
      <c r="M145" s="4">
        <v>441</v>
      </c>
      <c r="N145" s="4">
        <v>83</v>
      </c>
      <c r="O145" s="4">
        <v>11</v>
      </c>
      <c r="P145" s="4">
        <v>213</v>
      </c>
      <c r="Q145" s="4">
        <v>84</v>
      </c>
      <c r="R145" s="4">
        <v>18</v>
      </c>
      <c r="S145" s="4">
        <v>279</v>
      </c>
      <c r="T145" s="4">
        <v>93</v>
      </c>
      <c r="U145" s="4">
        <v>7</v>
      </c>
      <c r="V145" s="4">
        <v>69</v>
      </c>
      <c r="W145" s="4">
        <v>324.5</v>
      </c>
      <c r="X145" s="4">
        <v>24</v>
      </c>
      <c r="Y145" s="4">
        <v>424</v>
      </c>
      <c r="Z145" s="4">
        <v>260</v>
      </c>
      <c r="AA145" s="4">
        <v>12</v>
      </c>
      <c r="AB145" s="4">
        <v>169</v>
      </c>
      <c r="AC145" s="4">
        <v>584.5</v>
      </c>
      <c r="AD145" s="4">
        <v>14</v>
      </c>
      <c r="AE145" s="4">
        <v>257</v>
      </c>
    </row>
    <row r="147" spans="2:31" ht="14.1" customHeight="1" x14ac:dyDescent="0.5">
      <c r="B147" t="s">
        <v>85</v>
      </c>
      <c r="C147" s="18" t="s">
        <v>73</v>
      </c>
      <c r="D147" s="20" t="s">
        <v>0</v>
      </c>
      <c r="E147" s="12" t="s">
        <v>1</v>
      </c>
      <c r="F147" s="13"/>
      <c r="G147" s="14"/>
      <c r="H147" s="12" t="s">
        <v>2</v>
      </c>
      <c r="I147" s="13"/>
      <c r="J147" s="14"/>
      <c r="K147" s="12" t="s">
        <v>3</v>
      </c>
      <c r="L147" s="13"/>
      <c r="M147" s="14"/>
      <c r="N147" s="12" t="s">
        <v>4</v>
      </c>
      <c r="O147" s="13"/>
      <c r="P147" s="14"/>
      <c r="Q147" s="12" t="s">
        <v>5</v>
      </c>
      <c r="R147" s="13"/>
      <c r="S147" s="14"/>
      <c r="T147" s="12" t="s">
        <v>6</v>
      </c>
      <c r="U147" s="13"/>
      <c r="V147" s="14"/>
      <c r="W147" s="12" t="s">
        <v>7</v>
      </c>
      <c r="X147" s="13"/>
      <c r="Y147" s="14"/>
      <c r="Z147" s="12" t="s">
        <v>8</v>
      </c>
      <c r="AA147" s="13"/>
      <c r="AB147" s="14"/>
      <c r="AC147" s="15" t="s">
        <v>75</v>
      </c>
      <c r="AD147" s="16"/>
      <c r="AE147" s="17"/>
    </row>
    <row r="148" spans="2:31" x14ac:dyDescent="0.5">
      <c r="C148" s="19"/>
      <c r="D148" s="21"/>
      <c r="E148" s="8" t="s">
        <v>9</v>
      </c>
      <c r="F148" s="8" t="s">
        <v>10</v>
      </c>
      <c r="G148" s="8" t="s">
        <v>11</v>
      </c>
      <c r="H148" s="8" t="s">
        <v>9</v>
      </c>
      <c r="I148" s="8" t="s">
        <v>10</v>
      </c>
      <c r="J148" s="8" t="s">
        <v>11</v>
      </c>
      <c r="K148" s="8" t="s">
        <v>9</v>
      </c>
      <c r="L148" s="8" t="s">
        <v>10</v>
      </c>
      <c r="M148" s="8" t="s">
        <v>11</v>
      </c>
      <c r="N148" s="8" t="s">
        <v>9</v>
      </c>
      <c r="O148" s="8" t="s">
        <v>10</v>
      </c>
      <c r="P148" s="8" t="s">
        <v>11</v>
      </c>
      <c r="Q148" s="8" t="s">
        <v>9</v>
      </c>
      <c r="R148" s="8" t="s">
        <v>10</v>
      </c>
      <c r="S148" s="8" t="s">
        <v>11</v>
      </c>
      <c r="T148" s="8" t="s">
        <v>9</v>
      </c>
      <c r="U148" s="8" t="s">
        <v>10</v>
      </c>
      <c r="V148" s="8" t="s">
        <v>11</v>
      </c>
      <c r="W148" s="8" t="s">
        <v>9</v>
      </c>
      <c r="X148" s="8" t="s">
        <v>10</v>
      </c>
      <c r="Y148" s="8" t="s">
        <v>11</v>
      </c>
      <c r="Z148" s="8" t="s">
        <v>9</v>
      </c>
      <c r="AA148" s="8" t="s">
        <v>10</v>
      </c>
      <c r="AB148" s="8" t="s">
        <v>11</v>
      </c>
      <c r="AC148" s="8" t="s">
        <v>12</v>
      </c>
      <c r="AD148" s="8" t="s">
        <v>13</v>
      </c>
      <c r="AE148" s="9" t="s">
        <v>11</v>
      </c>
    </row>
    <row r="149" spans="2:31" x14ac:dyDescent="0.5">
      <c r="C149" s="2" t="s">
        <v>43</v>
      </c>
      <c r="D149" s="3">
        <v>30</v>
      </c>
      <c r="E149" s="4">
        <v>91</v>
      </c>
      <c r="F149" s="4">
        <v>43</v>
      </c>
      <c r="G149" s="4">
        <v>914</v>
      </c>
      <c r="H149" s="4">
        <v>89</v>
      </c>
      <c r="I149" s="4">
        <v>30</v>
      </c>
      <c r="J149" s="4">
        <v>619</v>
      </c>
      <c r="K149" s="4">
        <v>134</v>
      </c>
      <c r="L149" s="4">
        <v>11</v>
      </c>
      <c r="M149" s="4">
        <v>243</v>
      </c>
      <c r="N149" s="4">
        <v>65</v>
      </c>
      <c r="O149" s="4">
        <v>27</v>
      </c>
      <c r="P149" s="4">
        <v>570</v>
      </c>
      <c r="Q149" s="4">
        <v>82</v>
      </c>
      <c r="R149" s="4">
        <v>20</v>
      </c>
      <c r="S149" s="4">
        <v>347</v>
      </c>
      <c r="T149" s="4">
        <v>76</v>
      </c>
      <c r="U149" s="4">
        <v>41</v>
      </c>
      <c r="V149" s="4">
        <v>640</v>
      </c>
      <c r="W149" s="4">
        <v>314</v>
      </c>
      <c r="X149" s="4">
        <v>32</v>
      </c>
      <c r="Y149" s="4">
        <v>540</v>
      </c>
      <c r="Z149" s="4">
        <v>223</v>
      </c>
      <c r="AA149" s="4">
        <v>28</v>
      </c>
      <c r="AB149" s="4">
        <v>504</v>
      </c>
      <c r="AC149" s="4">
        <v>537</v>
      </c>
      <c r="AD149" s="4">
        <v>30</v>
      </c>
      <c r="AE149" s="4">
        <v>516</v>
      </c>
    </row>
    <row r="150" spans="2:31" x14ac:dyDescent="0.5">
      <c r="C150" s="2" t="s">
        <v>43</v>
      </c>
      <c r="D150" s="3">
        <v>30</v>
      </c>
      <c r="E150" s="4">
        <v>91</v>
      </c>
      <c r="F150" s="4">
        <v>43</v>
      </c>
      <c r="G150" s="4">
        <v>914</v>
      </c>
      <c r="H150" s="4">
        <v>89</v>
      </c>
      <c r="I150" s="4">
        <v>30</v>
      </c>
      <c r="J150" s="4">
        <v>619</v>
      </c>
      <c r="K150" s="4">
        <v>134</v>
      </c>
      <c r="L150" s="4">
        <v>11</v>
      </c>
      <c r="M150" s="4">
        <v>243</v>
      </c>
      <c r="N150" s="4">
        <v>65</v>
      </c>
      <c r="O150" s="4">
        <v>27</v>
      </c>
      <c r="P150" s="4">
        <v>570</v>
      </c>
      <c r="Q150" s="4">
        <v>82</v>
      </c>
      <c r="R150" s="4">
        <v>20</v>
      </c>
      <c r="S150" s="4">
        <v>347</v>
      </c>
      <c r="T150" s="4">
        <v>76</v>
      </c>
      <c r="U150" s="4">
        <v>41</v>
      </c>
      <c r="V150" s="4">
        <v>640</v>
      </c>
      <c r="W150" s="4">
        <v>314</v>
      </c>
      <c r="X150" s="4">
        <v>32</v>
      </c>
      <c r="Y150" s="4">
        <v>540</v>
      </c>
      <c r="Z150" s="4">
        <v>223</v>
      </c>
      <c r="AA150" s="4">
        <v>28</v>
      </c>
      <c r="AB150" s="4">
        <v>504</v>
      </c>
      <c r="AC150" s="4">
        <v>537</v>
      </c>
      <c r="AD150" s="4">
        <v>30</v>
      </c>
      <c r="AE150" s="4">
        <v>516</v>
      </c>
    </row>
    <row r="152" spans="2:31" ht="14.1" customHeight="1" x14ac:dyDescent="0.5">
      <c r="B152" t="s">
        <v>85</v>
      </c>
      <c r="C152" s="18" t="s">
        <v>73</v>
      </c>
      <c r="D152" s="20" t="s">
        <v>0</v>
      </c>
      <c r="E152" s="12" t="s">
        <v>1</v>
      </c>
      <c r="F152" s="13"/>
      <c r="G152" s="14"/>
      <c r="H152" s="12" t="s">
        <v>2</v>
      </c>
      <c r="I152" s="13"/>
      <c r="J152" s="14"/>
      <c r="K152" s="12" t="s">
        <v>3</v>
      </c>
      <c r="L152" s="13"/>
      <c r="M152" s="14"/>
      <c r="N152" s="12" t="s">
        <v>4</v>
      </c>
      <c r="O152" s="13"/>
      <c r="P152" s="14"/>
      <c r="Q152" s="12" t="s">
        <v>5</v>
      </c>
      <c r="R152" s="13"/>
      <c r="S152" s="14"/>
      <c r="T152" s="12" t="s">
        <v>6</v>
      </c>
      <c r="U152" s="13"/>
      <c r="V152" s="14"/>
      <c r="W152" s="12" t="s">
        <v>7</v>
      </c>
      <c r="X152" s="13"/>
      <c r="Y152" s="14"/>
      <c r="Z152" s="12" t="s">
        <v>8</v>
      </c>
      <c r="AA152" s="13"/>
      <c r="AB152" s="14"/>
      <c r="AC152" s="15" t="s">
        <v>75</v>
      </c>
      <c r="AD152" s="16"/>
      <c r="AE152" s="17"/>
    </row>
    <row r="153" spans="2:31" x14ac:dyDescent="0.5">
      <c r="C153" s="19"/>
      <c r="D153" s="21"/>
      <c r="E153" s="8" t="s">
        <v>9</v>
      </c>
      <c r="F153" s="8" t="s">
        <v>10</v>
      </c>
      <c r="G153" s="8" t="s">
        <v>11</v>
      </c>
      <c r="H153" s="8" t="s">
        <v>9</v>
      </c>
      <c r="I153" s="8" t="s">
        <v>10</v>
      </c>
      <c r="J153" s="8" t="s">
        <v>11</v>
      </c>
      <c r="K153" s="8" t="s">
        <v>9</v>
      </c>
      <c r="L153" s="8" t="s">
        <v>10</v>
      </c>
      <c r="M153" s="8" t="s">
        <v>11</v>
      </c>
      <c r="N153" s="8" t="s">
        <v>9</v>
      </c>
      <c r="O153" s="8" t="s">
        <v>10</v>
      </c>
      <c r="P153" s="8" t="s">
        <v>11</v>
      </c>
      <c r="Q153" s="8" t="s">
        <v>9</v>
      </c>
      <c r="R153" s="8" t="s">
        <v>10</v>
      </c>
      <c r="S153" s="8" t="s">
        <v>11</v>
      </c>
      <c r="T153" s="8" t="s">
        <v>9</v>
      </c>
      <c r="U153" s="8" t="s">
        <v>10</v>
      </c>
      <c r="V153" s="8" t="s">
        <v>11</v>
      </c>
      <c r="W153" s="8" t="s">
        <v>9</v>
      </c>
      <c r="X153" s="8" t="s">
        <v>10</v>
      </c>
      <c r="Y153" s="8" t="s">
        <v>11</v>
      </c>
      <c r="Z153" s="8" t="s">
        <v>9</v>
      </c>
      <c r="AA153" s="8" t="s">
        <v>10</v>
      </c>
      <c r="AB153" s="8" t="s">
        <v>11</v>
      </c>
      <c r="AC153" s="8" t="s">
        <v>12</v>
      </c>
      <c r="AD153" s="8" t="s">
        <v>13</v>
      </c>
      <c r="AE153" s="9" t="s">
        <v>11</v>
      </c>
    </row>
    <row r="154" spans="2:31" x14ac:dyDescent="0.5">
      <c r="C154" s="2" t="s">
        <v>44</v>
      </c>
      <c r="D154" s="3">
        <v>31</v>
      </c>
      <c r="E154" s="4">
        <v>84</v>
      </c>
      <c r="F154" s="4">
        <v>50</v>
      </c>
      <c r="G154" s="4">
        <v>1173</v>
      </c>
      <c r="H154" s="4">
        <v>78</v>
      </c>
      <c r="I154" s="4">
        <v>42</v>
      </c>
      <c r="J154" s="4">
        <v>835</v>
      </c>
      <c r="K154" s="4">
        <v>105.5</v>
      </c>
      <c r="L154" s="4">
        <v>54</v>
      </c>
      <c r="M154" s="4">
        <v>1164</v>
      </c>
      <c r="N154" s="4">
        <v>48</v>
      </c>
      <c r="O154" s="4">
        <v>47</v>
      </c>
      <c r="P154" s="4">
        <v>948</v>
      </c>
      <c r="Q154" s="4">
        <v>62</v>
      </c>
      <c r="R154" s="4">
        <v>51</v>
      </c>
      <c r="S154" s="4">
        <v>987</v>
      </c>
      <c r="T154" s="4">
        <v>67</v>
      </c>
      <c r="U154" s="4">
        <v>51</v>
      </c>
      <c r="V154" s="4">
        <v>918</v>
      </c>
      <c r="W154" s="4">
        <v>267.5</v>
      </c>
      <c r="X154" s="4">
        <v>54</v>
      </c>
      <c r="Y154" s="4">
        <v>1080</v>
      </c>
      <c r="Z154" s="4">
        <v>177</v>
      </c>
      <c r="AA154" s="4">
        <v>49</v>
      </c>
      <c r="AB154" s="4">
        <v>968</v>
      </c>
      <c r="AC154" s="4">
        <v>444.5</v>
      </c>
      <c r="AD154" s="4">
        <v>54</v>
      </c>
      <c r="AE154" s="4">
        <v>1048</v>
      </c>
    </row>
    <row r="155" spans="2:31" x14ac:dyDescent="0.5">
      <c r="C155" s="2" t="s">
        <v>44</v>
      </c>
      <c r="D155" s="3">
        <v>31</v>
      </c>
      <c r="E155" s="4">
        <v>84</v>
      </c>
      <c r="F155" s="4">
        <v>50</v>
      </c>
      <c r="G155" s="4">
        <v>1173</v>
      </c>
      <c r="H155" s="4">
        <v>78</v>
      </c>
      <c r="I155" s="4">
        <v>42</v>
      </c>
      <c r="J155" s="4">
        <v>835</v>
      </c>
      <c r="K155" s="4">
        <v>105.5</v>
      </c>
      <c r="L155" s="4">
        <v>54</v>
      </c>
      <c r="M155" s="4">
        <v>1164</v>
      </c>
      <c r="N155" s="4">
        <v>48</v>
      </c>
      <c r="O155" s="4">
        <v>47</v>
      </c>
      <c r="P155" s="4">
        <v>948</v>
      </c>
      <c r="Q155" s="4">
        <v>62</v>
      </c>
      <c r="R155" s="4">
        <v>51</v>
      </c>
      <c r="S155" s="4">
        <v>987</v>
      </c>
      <c r="T155" s="4">
        <v>67</v>
      </c>
      <c r="U155" s="4">
        <v>51</v>
      </c>
      <c r="V155" s="4">
        <v>918</v>
      </c>
      <c r="W155" s="4">
        <v>267.5</v>
      </c>
      <c r="X155" s="4">
        <v>54</v>
      </c>
      <c r="Y155" s="4">
        <v>1080</v>
      </c>
      <c r="Z155" s="4">
        <v>177</v>
      </c>
      <c r="AA155" s="4">
        <v>49</v>
      </c>
      <c r="AB155" s="4">
        <v>968</v>
      </c>
      <c r="AC155" s="4">
        <v>444.5</v>
      </c>
      <c r="AD155" s="4">
        <v>54</v>
      </c>
      <c r="AE155" s="4">
        <v>1048</v>
      </c>
    </row>
    <row r="157" spans="2:31" ht="14.1" customHeight="1" x14ac:dyDescent="0.5">
      <c r="B157" t="s">
        <v>85</v>
      </c>
      <c r="C157" s="18" t="s">
        <v>73</v>
      </c>
      <c r="D157" s="20" t="s">
        <v>0</v>
      </c>
      <c r="E157" s="12" t="s">
        <v>1</v>
      </c>
      <c r="F157" s="13"/>
      <c r="G157" s="14"/>
      <c r="H157" s="12" t="s">
        <v>2</v>
      </c>
      <c r="I157" s="13"/>
      <c r="J157" s="14"/>
      <c r="K157" s="12" t="s">
        <v>3</v>
      </c>
      <c r="L157" s="13"/>
      <c r="M157" s="14"/>
      <c r="N157" s="12" t="s">
        <v>4</v>
      </c>
      <c r="O157" s="13"/>
      <c r="P157" s="14"/>
      <c r="Q157" s="12" t="s">
        <v>5</v>
      </c>
      <c r="R157" s="13"/>
      <c r="S157" s="14"/>
      <c r="T157" s="12" t="s">
        <v>6</v>
      </c>
      <c r="U157" s="13"/>
      <c r="V157" s="14"/>
      <c r="W157" s="12" t="s">
        <v>7</v>
      </c>
      <c r="X157" s="13"/>
      <c r="Y157" s="14"/>
      <c r="Z157" s="12" t="s">
        <v>8</v>
      </c>
      <c r="AA157" s="13"/>
      <c r="AB157" s="14"/>
      <c r="AC157" s="15" t="s">
        <v>75</v>
      </c>
      <c r="AD157" s="16"/>
      <c r="AE157" s="17"/>
    </row>
    <row r="158" spans="2:31" x14ac:dyDescent="0.5">
      <c r="C158" s="19"/>
      <c r="D158" s="21"/>
      <c r="E158" s="8" t="s">
        <v>9</v>
      </c>
      <c r="F158" s="8" t="s">
        <v>10</v>
      </c>
      <c r="G158" s="8" t="s">
        <v>11</v>
      </c>
      <c r="H158" s="8" t="s">
        <v>9</v>
      </c>
      <c r="I158" s="8" t="s">
        <v>10</v>
      </c>
      <c r="J158" s="8" t="s">
        <v>11</v>
      </c>
      <c r="K158" s="8" t="s">
        <v>9</v>
      </c>
      <c r="L158" s="8" t="s">
        <v>10</v>
      </c>
      <c r="M158" s="8" t="s">
        <v>11</v>
      </c>
      <c r="N158" s="8" t="s">
        <v>9</v>
      </c>
      <c r="O158" s="8" t="s">
        <v>10</v>
      </c>
      <c r="P158" s="8" t="s">
        <v>11</v>
      </c>
      <c r="Q158" s="8" t="s">
        <v>9</v>
      </c>
      <c r="R158" s="8" t="s">
        <v>10</v>
      </c>
      <c r="S158" s="8" t="s">
        <v>11</v>
      </c>
      <c r="T158" s="8" t="s">
        <v>9</v>
      </c>
      <c r="U158" s="8" t="s">
        <v>10</v>
      </c>
      <c r="V158" s="8" t="s">
        <v>11</v>
      </c>
      <c r="W158" s="8" t="s">
        <v>9</v>
      </c>
      <c r="X158" s="8" t="s">
        <v>10</v>
      </c>
      <c r="Y158" s="8" t="s">
        <v>11</v>
      </c>
      <c r="Z158" s="8" t="s">
        <v>9</v>
      </c>
      <c r="AA158" s="8" t="s">
        <v>10</v>
      </c>
      <c r="AB158" s="8" t="s">
        <v>11</v>
      </c>
      <c r="AC158" s="8" t="s">
        <v>12</v>
      </c>
      <c r="AD158" s="8" t="s">
        <v>13</v>
      </c>
      <c r="AE158" s="9" t="s">
        <v>11</v>
      </c>
    </row>
    <row r="159" spans="2:31" x14ac:dyDescent="0.5">
      <c r="C159" s="2" t="s">
        <v>45</v>
      </c>
      <c r="D159" s="3">
        <v>32</v>
      </c>
      <c r="E159" s="4">
        <v>108</v>
      </c>
      <c r="F159" s="4">
        <v>13</v>
      </c>
      <c r="G159" s="4">
        <v>207</v>
      </c>
      <c r="H159" s="4">
        <v>104</v>
      </c>
      <c r="I159" s="4">
        <v>15</v>
      </c>
      <c r="J159" s="4">
        <v>314</v>
      </c>
      <c r="K159" s="4">
        <v>102.5</v>
      </c>
      <c r="L159" s="4">
        <v>56</v>
      </c>
      <c r="M159" s="4">
        <v>1213</v>
      </c>
      <c r="N159" s="4">
        <v>76</v>
      </c>
      <c r="O159" s="4">
        <v>18</v>
      </c>
      <c r="P159" s="4">
        <v>330</v>
      </c>
      <c r="Q159" s="4">
        <v>80</v>
      </c>
      <c r="R159" s="4">
        <v>25</v>
      </c>
      <c r="S159" s="4">
        <v>411</v>
      </c>
      <c r="T159" s="4">
        <v>78</v>
      </c>
      <c r="U159" s="4">
        <v>36</v>
      </c>
      <c r="V159" s="4">
        <v>568</v>
      </c>
      <c r="W159" s="4">
        <v>314.5</v>
      </c>
      <c r="X159" s="4">
        <v>30</v>
      </c>
      <c r="Y159" s="4">
        <v>536</v>
      </c>
      <c r="Z159" s="4">
        <v>234</v>
      </c>
      <c r="AA159" s="4">
        <v>23</v>
      </c>
      <c r="AB159" s="4">
        <v>407</v>
      </c>
      <c r="AC159" s="4">
        <v>548.5</v>
      </c>
      <c r="AD159" s="4">
        <v>23</v>
      </c>
      <c r="AE159" s="4">
        <v>449</v>
      </c>
    </row>
    <row r="160" spans="2:31" x14ac:dyDescent="0.5">
      <c r="C160" s="2" t="s">
        <v>45</v>
      </c>
      <c r="D160" s="3">
        <v>32</v>
      </c>
      <c r="E160" s="4">
        <v>108</v>
      </c>
      <c r="F160" s="4">
        <v>13</v>
      </c>
      <c r="G160" s="4">
        <v>207</v>
      </c>
      <c r="H160" s="4">
        <v>104</v>
      </c>
      <c r="I160" s="4">
        <v>15</v>
      </c>
      <c r="J160" s="4">
        <v>314</v>
      </c>
      <c r="K160" s="4">
        <v>102.5</v>
      </c>
      <c r="L160" s="4">
        <v>56</v>
      </c>
      <c r="M160" s="4">
        <v>1213</v>
      </c>
      <c r="N160" s="4">
        <v>76</v>
      </c>
      <c r="O160" s="4">
        <v>18</v>
      </c>
      <c r="P160" s="4">
        <v>330</v>
      </c>
      <c r="Q160" s="4">
        <v>80</v>
      </c>
      <c r="R160" s="4">
        <v>25</v>
      </c>
      <c r="S160" s="4">
        <v>411</v>
      </c>
      <c r="T160" s="4">
        <v>78</v>
      </c>
      <c r="U160" s="4">
        <v>36</v>
      </c>
      <c r="V160" s="4">
        <v>568</v>
      </c>
      <c r="W160" s="4">
        <v>314.5</v>
      </c>
      <c r="X160" s="4">
        <v>30</v>
      </c>
      <c r="Y160" s="4">
        <v>536</v>
      </c>
      <c r="Z160" s="4">
        <v>234</v>
      </c>
      <c r="AA160" s="4">
        <v>23</v>
      </c>
      <c r="AB160" s="4">
        <v>407</v>
      </c>
      <c r="AC160" s="4">
        <v>548.5</v>
      </c>
      <c r="AD160" s="4">
        <v>23</v>
      </c>
      <c r="AE160" s="4">
        <v>449</v>
      </c>
    </row>
    <row r="162" spans="2:31" ht="14.1" customHeight="1" x14ac:dyDescent="0.5">
      <c r="B162" t="s">
        <v>85</v>
      </c>
      <c r="C162" s="18" t="s">
        <v>73</v>
      </c>
      <c r="D162" s="20" t="s">
        <v>0</v>
      </c>
      <c r="E162" s="12" t="s">
        <v>1</v>
      </c>
      <c r="F162" s="13"/>
      <c r="G162" s="14"/>
      <c r="H162" s="12" t="s">
        <v>2</v>
      </c>
      <c r="I162" s="13"/>
      <c r="J162" s="14"/>
      <c r="K162" s="12" t="s">
        <v>3</v>
      </c>
      <c r="L162" s="13"/>
      <c r="M162" s="14"/>
      <c r="N162" s="12" t="s">
        <v>4</v>
      </c>
      <c r="O162" s="13"/>
      <c r="P162" s="14"/>
      <c r="Q162" s="12" t="s">
        <v>5</v>
      </c>
      <c r="R162" s="13"/>
      <c r="S162" s="14"/>
      <c r="T162" s="12" t="s">
        <v>6</v>
      </c>
      <c r="U162" s="13"/>
      <c r="V162" s="14"/>
      <c r="W162" s="12" t="s">
        <v>7</v>
      </c>
      <c r="X162" s="13"/>
      <c r="Y162" s="14"/>
      <c r="Z162" s="12" t="s">
        <v>8</v>
      </c>
      <c r="AA162" s="13"/>
      <c r="AB162" s="14"/>
      <c r="AC162" s="15" t="s">
        <v>75</v>
      </c>
      <c r="AD162" s="16"/>
      <c r="AE162" s="17"/>
    </row>
    <row r="163" spans="2:31" x14ac:dyDescent="0.5">
      <c r="C163" s="19"/>
      <c r="D163" s="21"/>
      <c r="E163" s="8" t="s">
        <v>9</v>
      </c>
      <c r="F163" s="8" t="s">
        <v>10</v>
      </c>
      <c r="G163" s="8" t="s">
        <v>11</v>
      </c>
      <c r="H163" s="8" t="s">
        <v>9</v>
      </c>
      <c r="I163" s="8" t="s">
        <v>10</v>
      </c>
      <c r="J163" s="8" t="s">
        <v>11</v>
      </c>
      <c r="K163" s="8" t="s">
        <v>9</v>
      </c>
      <c r="L163" s="8" t="s">
        <v>10</v>
      </c>
      <c r="M163" s="8" t="s">
        <v>11</v>
      </c>
      <c r="N163" s="8" t="s">
        <v>9</v>
      </c>
      <c r="O163" s="8" t="s">
        <v>10</v>
      </c>
      <c r="P163" s="8" t="s">
        <v>11</v>
      </c>
      <c r="Q163" s="8" t="s">
        <v>9</v>
      </c>
      <c r="R163" s="8" t="s">
        <v>10</v>
      </c>
      <c r="S163" s="8" t="s">
        <v>11</v>
      </c>
      <c r="T163" s="8" t="s">
        <v>9</v>
      </c>
      <c r="U163" s="8" t="s">
        <v>10</v>
      </c>
      <c r="V163" s="8" t="s">
        <v>11</v>
      </c>
      <c r="W163" s="8" t="s">
        <v>9</v>
      </c>
      <c r="X163" s="8" t="s">
        <v>10</v>
      </c>
      <c r="Y163" s="8" t="s">
        <v>11</v>
      </c>
      <c r="Z163" s="8" t="s">
        <v>9</v>
      </c>
      <c r="AA163" s="8" t="s">
        <v>10</v>
      </c>
      <c r="AB163" s="8" t="s">
        <v>11</v>
      </c>
      <c r="AC163" s="8" t="s">
        <v>12</v>
      </c>
      <c r="AD163" s="8" t="s">
        <v>13</v>
      </c>
      <c r="AE163" s="9" t="s">
        <v>11</v>
      </c>
    </row>
    <row r="164" spans="2:31" x14ac:dyDescent="0.5">
      <c r="C164" s="2" t="s">
        <v>46</v>
      </c>
      <c r="D164" s="3">
        <v>33</v>
      </c>
      <c r="E164" s="4">
        <v>112</v>
      </c>
      <c r="F164" s="4">
        <v>4</v>
      </c>
      <c r="G164" s="4">
        <v>104</v>
      </c>
      <c r="H164" s="4">
        <v>89</v>
      </c>
      <c r="I164" s="4">
        <v>30</v>
      </c>
      <c r="J164" s="4">
        <v>619</v>
      </c>
      <c r="K164" s="4">
        <v>130</v>
      </c>
      <c r="L164" s="4">
        <v>15</v>
      </c>
      <c r="M164" s="4">
        <v>378</v>
      </c>
      <c r="N164" s="4">
        <v>49</v>
      </c>
      <c r="O164" s="4">
        <v>44</v>
      </c>
      <c r="P164" s="4">
        <v>926</v>
      </c>
      <c r="Q164" s="4">
        <v>68</v>
      </c>
      <c r="R164" s="4">
        <v>45</v>
      </c>
      <c r="S164" s="4">
        <v>803</v>
      </c>
      <c r="T164" s="4">
        <v>70</v>
      </c>
      <c r="U164" s="4">
        <v>47</v>
      </c>
      <c r="V164" s="4">
        <v>815</v>
      </c>
      <c r="W164" s="4">
        <v>331</v>
      </c>
      <c r="X164" s="4">
        <v>18</v>
      </c>
      <c r="Y164" s="4">
        <v>343</v>
      </c>
      <c r="Z164" s="4">
        <v>187</v>
      </c>
      <c r="AA164" s="4">
        <v>46</v>
      </c>
      <c r="AB164" s="4">
        <v>870</v>
      </c>
      <c r="AC164" s="4">
        <v>518</v>
      </c>
      <c r="AD164" s="4">
        <v>36</v>
      </c>
      <c r="AE164" s="4">
        <v>628</v>
      </c>
    </row>
    <row r="165" spans="2:31" x14ac:dyDescent="0.5">
      <c r="C165" s="2" t="s">
        <v>46</v>
      </c>
      <c r="D165" s="3">
        <v>33</v>
      </c>
      <c r="E165" s="4">
        <v>112</v>
      </c>
      <c r="F165" s="4">
        <v>4</v>
      </c>
      <c r="G165" s="4">
        <v>104</v>
      </c>
      <c r="H165" s="4">
        <v>89</v>
      </c>
      <c r="I165" s="4">
        <v>30</v>
      </c>
      <c r="J165" s="4">
        <v>619</v>
      </c>
      <c r="K165" s="4">
        <v>130</v>
      </c>
      <c r="L165" s="4">
        <v>15</v>
      </c>
      <c r="M165" s="4">
        <v>378</v>
      </c>
      <c r="N165" s="4">
        <v>49</v>
      </c>
      <c r="O165" s="4">
        <v>44</v>
      </c>
      <c r="P165" s="4">
        <v>926</v>
      </c>
      <c r="Q165" s="4">
        <v>68</v>
      </c>
      <c r="R165" s="4">
        <v>45</v>
      </c>
      <c r="S165" s="4">
        <v>803</v>
      </c>
      <c r="T165" s="4">
        <v>70</v>
      </c>
      <c r="U165" s="4">
        <v>47</v>
      </c>
      <c r="V165" s="4">
        <v>815</v>
      </c>
      <c r="W165" s="4">
        <v>331</v>
      </c>
      <c r="X165" s="4">
        <v>18</v>
      </c>
      <c r="Y165" s="4">
        <v>343</v>
      </c>
      <c r="Z165" s="4">
        <v>187</v>
      </c>
      <c r="AA165" s="4">
        <v>46</v>
      </c>
      <c r="AB165" s="4">
        <v>870</v>
      </c>
      <c r="AC165" s="4">
        <v>518</v>
      </c>
      <c r="AD165" s="4">
        <v>36</v>
      </c>
      <c r="AE165" s="4">
        <v>628</v>
      </c>
    </row>
    <row r="167" spans="2:31" ht="14.1" customHeight="1" x14ac:dyDescent="0.5">
      <c r="B167" t="s">
        <v>85</v>
      </c>
      <c r="C167" s="18" t="s">
        <v>73</v>
      </c>
      <c r="D167" s="20" t="s">
        <v>0</v>
      </c>
      <c r="E167" s="12" t="s">
        <v>1</v>
      </c>
      <c r="F167" s="13"/>
      <c r="G167" s="14"/>
      <c r="H167" s="12" t="s">
        <v>2</v>
      </c>
      <c r="I167" s="13"/>
      <c r="J167" s="14"/>
      <c r="K167" s="12" t="s">
        <v>3</v>
      </c>
      <c r="L167" s="13"/>
      <c r="M167" s="14"/>
      <c r="N167" s="12" t="s">
        <v>4</v>
      </c>
      <c r="O167" s="13"/>
      <c r="P167" s="14"/>
      <c r="Q167" s="12" t="s">
        <v>5</v>
      </c>
      <c r="R167" s="13"/>
      <c r="S167" s="14"/>
      <c r="T167" s="12" t="s">
        <v>6</v>
      </c>
      <c r="U167" s="13"/>
      <c r="V167" s="14"/>
      <c r="W167" s="12" t="s">
        <v>7</v>
      </c>
      <c r="X167" s="13"/>
      <c r="Y167" s="14"/>
      <c r="Z167" s="12" t="s">
        <v>8</v>
      </c>
      <c r="AA167" s="13"/>
      <c r="AB167" s="14"/>
      <c r="AC167" s="15" t="s">
        <v>75</v>
      </c>
      <c r="AD167" s="16"/>
      <c r="AE167" s="17"/>
    </row>
    <row r="168" spans="2:31" x14ac:dyDescent="0.5">
      <c r="C168" s="19"/>
      <c r="D168" s="21"/>
      <c r="E168" s="8" t="s">
        <v>9</v>
      </c>
      <c r="F168" s="8" t="s">
        <v>10</v>
      </c>
      <c r="G168" s="8" t="s">
        <v>11</v>
      </c>
      <c r="H168" s="8" t="s">
        <v>9</v>
      </c>
      <c r="I168" s="8" t="s">
        <v>10</v>
      </c>
      <c r="J168" s="8" t="s">
        <v>11</v>
      </c>
      <c r="K168" s="8" t="s">
        <v>9</v>
      </c>
      <c r="L168" s="8" t="s">
        <v>10</v>
      </c>
      <c r="M168" s="8" t="s">
        <v>11</v>
      </c>
      <c r="N168" s="8" t="s">
        <v>9</v>
      </c>
      <c r="O168" s="8" t="s">
        <v>10</v>
      </c>
      <c r="P168" s="8" t="s">
        <v>11</v>
      </c>
      <c r="Q168" s="8" t="s">
        <v>9</v>
      </c>
      <c r="R168" s="8" t="s">
        <v>10</v>
      </c>
      <c r="S168" s="8" t="s">
        <v>11</v>
      </c>
      <c r="T168" s="8" t="s">
        <v>9</v>
      </c>
      <c r="U168" s="8" t="s">
        <v>10</v>
      </c>
      <c r="V168" s="8" t="s">
        <v>11</v>
      </c>
      <c r="W168" s="8" t="s">
        <v>9</v>
      </c>
      <c r="X168" s="8" t="s">
        <v>10</v>
      </c>
      <c r="Y168" s="8" t="s">
        <v>11</v>
      </c>
      <c r="Z168" s="8" t="s">
        <v>9</v>
      </c>
      <c r="AA168" s="8" t="s">
        <v>10</v>
      </c>
      <c r="AB168" s="8" t="s">
        <v>11</v>
      </c>
      <c r="AC168" s="8" t="s">
        <v>12</v>
      </c>
      <c r="AD168" s="8" t="s">
        <v>13</v>
      </c>
      <c r="AE168" s="9" t="s">
        <v>11</v>
      </c>
    </row>
    <row r="169" spans="2:31" x14ac:dyDescent="0.5">
      <c r="C169" s="2" t="s">
        <v>47</v>
      </c>
      <c r="D169" s="3">
        <v>34</v>
      </c>
      <c r="E169" s="4">
        <v>84</v>
      </c>
      <c r="F169" s="4">
        <v>50</v>
      </c>
      <c r="G169" s="4">
        <v>1173</v>
      </c>
      <c r="H169" s="4">
        <v>85</v>
      </c>
      <c r="I169" s="4">
        <v>36</v>
      </c>
      <c r="J169" s="4">
        <v>707</v>
      </c>
      <c r="K169" s="4">
        <v>129</v>
      </c>
      <c r="L169" s="4">
        <v>19</v>
      </c>
      <c r="M169" s="4">
        <v>425</v>
      </c>
      <c r="N169" s="4">
        <v>30</v>
      </c>
      <c r="O169" s="4">
        <v>59</v>
      </c>
      <c r="P169" s="4">
        <v>1306</v>
      </c>
      <c r="Q169" s="4">
        <v>64</v>
      </c>
      <c r="R169" s="4">
        <v>48</v>
      </c>
      <c r="S169" s="4">
        <v>928</v>
      </c>
      <c r="T169" s="4">
        <v>57</v>
      </c>
      <c r="U169" s="4">
        <v>56</v>
      </c>
      <c r="V169" s="4">
        <v>1140</v>
      </c>
      <c r="W169" s="4">
        <v>298</v>
      </c>
      <c r="X169" s="4">
        <v>37</v>
      </c>
      <c r="Y169" s="4">
        <v>752</v>
      </c>
      <c r="Z169" s="4">
        <v>151</v>
      </c>
      <c r="AA169" s="4">
        <v>57</v>
      </c>
      <c r="AB169" s="4">
        <v>1178</v>
      </c>
      <c r="AC169" s="4">
        <v>449</v>
      </c>
      <c r="AD169" s="4">
        <v>52</v>
      </c>
      <c r="AE169" s="4">
        <v>1021</v>
      </c>
    </row>
    <row r="170" spans="2:31" x14ac:dyDescent="0.5">
      <c r="C170" s="2" t="s">
        <v>47</v>
      </c>
      <c r="D170" s="3">
        <v>34</v>
      </c>
      <c r="E170" s="4">
        <v>84</v>
      </c>
      <c r="F170" s="4">
        <v>50</v>
      </c>
      <c r="G170" s="4">
        <v>1173</v>
      </c>
      <c r="H170" s="4">
        <v>85</v>
      </c>
      <c r="I170" s="4">
        <v>36</v>
      </c>
      <c r="J170" s="4">
        <v>707</v>
      </c>
      <c r="K170" s="4">
        <v>129</v>
      </c>
      <c r="L170" s="4">
        <v>19</v>
      </c>
      <c r="M170" s="4">
        <v>425</v>
      </c>
      <c r="N170" s="4">
        <v>30</v>
      </c>
      <c r="O170" s="4">
        <v>59</v>
      </c>
      <c r="P170" s="4">
        <v>1306</v>
      </c>
      <c r="Q170" s="4">
        <v>64</v>
      </c>
      <c r="R170" s="4">
        <v>48</v>
      </c>
      <c r="S170" s="4">
        <v>928</v>
      </c>
      <c r="T170" s="4">
        <v>57</v>
      </c>
      <c r="U170" s="4">
        <v>56</v>
      </c>
      <c r="V170" s="4">
        <v>1140</v>
      </c>
      <c r="W170" s="4">
        <v>298</v>
      </c>
      <c r="X170" s="4">
        <v>37</v>
      </c>
      <c r="Y170" s="4">
        <v>752</v>
      </c>
      <c r="Z170" s="4">
        <v>151</v>
      </c>
      <c r="AA170" s="4">
        <v>57</v>
      </c>
      <c r="AB170" s="4">
        <v>1178</v>
      </c>
      <c r="AC170" s="4">
        <v>449</v>
      </c>
      <c r="AD170" s="4">
        <v>52</v>
      </c>
      <c r="AE170" s="4">
        <v>1021</v>
      </c>
    </row>
    <row r="172" spans="2:31" ht="14.1" customHeight="1" x14ac:dyDescent="0.5">
      <c r="B172" t="s">
        <v>85</v>
      </c>
      <c r="C172" s="18" t="s">
        <v>73</v>
      </c>
      <c r="D172" s="20" t="s">
        <v>0</v>
      </c>
      <c r="E172" s="12" t="s">
        <v>1</v>
      </c>
      <c r="F172" s="13"/>
      <c r="G172" s="14"/>
      <c r="H172" s="12" t="s">
        <v>2</v>
      </c>
      <c r="I172" s="13"/>
      <c r="J172" s="14"/>
      <c r="K172" s="12" t="s">
        <v>3</v>
      </c>
      <c r="L172" s="13"/>
      <c r="M172" s="14"/>
      <c r="N172" s="12" t="s">
        <v>4</v>
      </c>
      <c r="O172" s="13"/>
      <c r="P172" s="14"/>
      <c r="Q172" s="12" t="s">
        <v>5</v>
      </c>
      <c r="R172" s="13"/>
      <c r="S172" s="14"/>
      <c r="T172" s="12" t="s">
        <v>6</v>
      </c>
      <c r="U172" s="13"/>
      <c r="V172" s="14"/>
      <c r="W172" s="12" t="s">
        <v>7</v>
      </c>
      <c r="X172" s="13"/>
      <c r="Y172" s="14"/>
      <c r="Z172" s="12" t="s">
        <v>8</v>
      </c>
      <c r="AA172" s="13"/>
      <c r="AB172" s="14"/>
      <c r="AC172" s="15" t="s">
        <v>75</v>
      </c>
      <c r="AD172" s="16"/>
      <c r="AE172" s="17"/>
    </row>
    <row r="173" spans="2:31" x14ac:dyDescent="0.5">
      <c r="C173" s="19"/>
      <c r="D173" s="21"/>
      <c r="E173" s="8" t="s">
        <v>9</v>
      </c>
      <c r="F173" s="8" t="s">
        <v>10</v>
      </c>
      <c r="G173" s="8" t="s">
        <v>11</v>
      </c>
      <c r="H173" s="8" t="s">
        <v>9</v>
      </c>
      <c r="I173" s="8" t="s">
        <v>10</v>
      </c>
      <c r="J173" s="8" t="s">
        <v>11</v>
      </c>
      <c r="K173" s="8" t="s">
        <v>9</v>
      </c>
      <c r="L173" s="8" t="s">
        <v>10</v>
      </c>
      <c r="M173" s="8" t="s">
        <v>11</v>
      </c>
      <c r="N173" s="8" t="s">
        <v>9</v>
      </c>
      <c r="O173" s="8" t="s">
        <v>10</v>
      </c>
      <c r="P173" s="8" t="s">
        <v>11</v>
      </c>
      <c r="Q173" s="8" t="s">
        <v>9</v>
      </c>
      <c r="R173" s="8" t="s">
        <v>10</v>
      </c>
      <c r="S173" s="8" t="s">
        <v>11</v>
      </c>
      <c r="T173" s="8" t="s">
        <v>9</v>
      </c>
      <c r="U173" s="8" t="s">
        <v>10</v>
      </c>
      <c r="V173" s="8" t="s">
        <v>11</v>
      </c>
      <c r="W173" s="8" t="s">
        <v>9</v>
      </c>
      <c r="X173" s="8" t="s">
        <v>10</v>
      </c>
      <c r="Y173" s="8" t="s">
        <v>11</v>
      </c>
      <c r="Z173" s="8" t="s">
        <v>9</v>
      </c>
      <c r="AA173" s="8" t="s">
        <v>10</v>
      </c>
      <c r="AB173" s="8" t="s">
        <v>11</v>
      </c>
      <c r="AC173" s="8" t="s">
        <v>12</v>
      </c>
      <c r="AD173" s="8" t="s">
        <v>13</v>
      </c>
      <c r="AE173" s="9" t="s">
        <v>11</v>
      </c>
    </row>
    <row r="174" spans="2:31" x14ac:dyDescent="0.5">
      <c r="C174" s="2" t="s">
        <v>48</v>
      </c>
      <c r="D174" s="3">
        <v>35</v>
      </c>
      <c r="E174" s="4">
        <v>109</v>
      </c>
      <c r="F174" s="4">
        <v>10</v>
      </c>
      <c r="G174" s="4">
        <v>175</v>
      </c>
      <c r="H174" s="4">
        <v>129</v>
      </c>
      <c r="I174" s="4">
        <v>3</v>
      </c>
      <c r="J174" s="4">
        <v>43</v>
      </c>
      <c r="K174" s="4">
        <v>110.5</v>
      </c>
      <c r="L174" s="4">
        <v>51</v>
      </c>
      <c r="M174" s="4">
        <v>1041</v>
      </c>
      <c r="N174" s="4">
        <v>61</v>
      </c>
      <c r="O174" s="4">
        <v>30</v>
      </c>
      <c r="P174" s="4">
        <v>655</v>
      </c>
      <c r="Q174" s="4">
        <v>83</v>
      </c>
      <c r="R174" s="4">
        <v>19</v>
      </c>
      <c r="S174" s="4">
        <v>337</v>
      </c>
      <c r="T174" s="4">
        <v>91</v>
      </c>
      <c r="U174" s="4">
        <v>8</v>
      </c>
      <c r="V174" s="4">
        <v>128</v>
      </c>
      <c r="W174" s="4">
        <v>348.5</v>
      </c>
      <c r="X174" s="4">
        <v>4</v>
      </c>
      <c r="Y174" s="4">
        <v>160</v>
      </c>
      <c r="Z174" s="4">
        <v>235</v>
      </c>
      <c r="AA174" s="4">
        <v>22</v>
      </c>
      <c r="AB174" s="4">
        <v>403</v>
      </c>
      <c r="AC174" s="4">
        <v>583.5</v>
      </c>
      <c r="AD174" s="4">
        <v>15</v>
      </c>
      <c r="AE174" s="4">
        <v>261</v>
      </c>
    </row>
    <row r="175" spans="2:31" x14ac:dyDescent="0.5">
      <c r="C175" s="2" t="s">
        <v>48</v>
      </c>
      <c r="D175" s="3">
        <v>35</v>
      </c>
      <c r="E175" s="4">
        <v>109</v>
      </c>
      <c r="F175" s="4">
        <v>10</v>
      </c>
      <c r="G175" s="4">
        <v>175</v>
      </c>
      <c r="H175" s="4">
        <v>129</v>
      </c>
      <c r="I175" s="4">
        <v>3</v>
      </c>
      <c r="J175" s="4">
        <v>43</v>
      </c>
      <c r="K175" s="4">
        <v>110.5</v>
      </c>
      <c r="L175" s="4">
        <v>51</v>
      </c>
      <c r="M175" s="4">
        <v>1041</v>
      </c>
      <c r="N175" s="4">
        <v>61</v>
      </c>
      <c r="O175" s="4">
        <v>30</v>
      </c>
      <c r="P175" s="4">
        <v>655</v>
      </c>
      <c r="Q175" s="4">
        <v>83</v>
      </c>
      <c r="R175" s="4">
        <v>19</v>
      </c>
      <c r="S175" s="4">
        <v>337</v>
      </c>
      <c r="T175" s="4">
        <v>91</v>
      </c>
      <c r="U175" s="4">
        <v>8</v>
      </c>
      <c r="V175" s="4">
        <v>128</v>
      </c>
      <c r="W175" s="4">
        <v>348.5</v>
      </c>
      <c r="X175" s="4">
        <v>4</v>
      </c>
      <c r="Y175" s="4">
        <v>160</v>
      </c>
      <c r="Z175" s="4">
        <v>235</v>
      </c>
      <c r="AA175" s="4">
        <v>22</v>
      </c>
      <c r="AB175" s="4">
        <v>403</v>
      </c>
      <c r="AC175" s="4">
        <v>583.5</v>
      </c>
      <c r="AD175" s="4">
        <v>15</v>
      </c>
      <c r="AE175" s="4">
        <v>261</v>
      </c>
    </row>
    <row r="177" spans="2:31" ht="14.1" customHeight="1" x14ac:dyDescent="0.5">
      <c r="B177" t="s">
        <v>85</v>
      </c>
      <c r="C177" s="18" t="s">
        <v>73</v>
      </c>
      <c r="D177" s="20" t="s">
        <v>0</v>
      </c>
      <c r="E177" s="12" t="s">
        <v>1</v>
      </c>
      <c r="F177" s="13"/>
      <c r="G177" s="14"/>
      <c r="H177" s="12" t="s">
        <v>2</v>
      </c>
      <c r="I177" s="13"/>
      <c r="J177" s="14"/>
      <c r="K177" s="12" t="s">
        <v>3</v>
      </c>
      <c r="L177" s="13"/>
      <c r="M177" s="14"/>
      <c r="N177" s="12" t="s">
        <v>4</v>
      </c>
      <c r="O177" s="13"/>
      <c r="P177" s="14"/>
      <c r="Q177" s="12" t="s">
        <v>5</v>
      </c>
      <c r="R177" s="13"/>
      <c r="S177" s="14"/>
      <c r="T177" s="12" t="s">
        <v>6</v>
      </c>
      <c r="U177" s="13"/>
      <c r="V177" s="14"/>
      <c r="W177" s="12" t="s">
        <v>7</v>
      </c>
      <c r="X177" s="13"/>
      <c r="Y177" s="14"/>
      <c r="Z177" s="12" t="s">
        <v>8</v>
      </c>
      <c r="AA177" s="13"/>
      <c r="AB177" s="14"/>
      <c r="AC177" s="15" t="s">
        <v>75</v>
      </c>
      <c r="AD177" s="16"/>
      <c r="AE177" s="17"/>
    </row>
    <row r="178" spans="2:31" x14ac:dyDescent="0.5">
      <c r="C178" s="19"/>
      <c r="D178" s="21"/>
      <c r="E178" s="8" t="s">
        <v>9</v>
      </c>
      <c r="F178" s="8" t="s">
        <v>10</v>
      </c>
      <c r="G178" s="8" t="s">
        <v>11</v>
      </c>
      <c r="H178" s="8" t="s">
        <v>9</v>
      </c>
      <c r="I178" s="8" t="s">
        <v>10</v>
      </c>
      <c r="J178" s="8" t="s">
        <v>11</v>
      </c>
      <c r="K178" s="8" t="s">
        <v>9</v>
      </c>
      <c r="L178" s="8" t="s">
        <v>10</v>
      </c>
      <c r="M178" s="8" t="s">
        <v>11</v>
      </c>
      <c r="N178" s="8" t="s">
        <v>9</v>
      </c>
      <c r="O178" s="8" t="s">
        <v>10</v>
      </c>
      <c r="P178" s="8" t="s">
        <v>11</v>
      </c>
      <c r="Q178" s="8" t="s">
        <v>9</v>
      </c>
      <c r="R178" s="8" t="s">
        <v>10</v>
      </c>
      <c r="S178" s="8" t="s">
        <v>11</v>
      </c>
      <c r="T178" s="8" t="s">
        <v>9</v>
      </c>
      <c r="U178" s="8" t="s">
        <v>10</v>
      </c>
      <c r="V178" s="8" t="s">
        <v>11</v>
      </c>
      <c r="W178" s="8" t="s">
        <v>9</v>
      </c>
      <c r="X178" s="8" t="s">
        <v>10</v>
      </c>
      <c r="Y178" s="8" t="s">
        <v>11</v>
      </c>
      <c r="Z178" s="8" t="s">
        <v>9</v>
      </c>
      <c r="AA178" s="8" t="s">
        <v>10</v>
      </c>
      <c r="AB178" s="8" t="s">
        <v>11</v>
      </c>
      <c r="AC178" s="8" t="s">
        <v>12</v>
      </c>
      <c r="AD178" s="8" t="s">
        <v>13</v>
      </c>
      <c r="AE178" s="9" t="s">
        <v>11</v>
      </c>
    </row>
    <row r="179" spans="2:31" x14ac:dyDescent="0.5">
      <c r="C179" s="2" t="s">
        <v>49</v>
      </c>
      <c r="D179" s="3">
        <v>36</v>
      </c>
      <c r="E179" s="4">
        <v>91</v>
      </c>
      <c r="F179" s="4">
        <v>43</v>
      </c>
      <c r="G179" s="4">
        <v>914</v>
      </c>
      <c r="H179" s="4">
        <v>109</v>
      </c>
      <c r="I179" s="4">
        <v>11</v>
      </c>
      <c r="J179" s="4">
        <v>227</v>
      </c>
      <c r="K179" s="4">
        <v>138.5</v>
      </c>
      <c r="L179" s="4">
        <v>3</v>
      </c>
      <c r="M179" s="4">
        <v>94</v>
      </c>
      <c r="N179" s="4">
        <v>75</v>
      </c>
      <c r="O179" s="4">
        <v>19</v>
      </c>
      <c r="P179" s="4">
        <v>353</v>
      </c>
      <c r="Q179" s="4">
        <v>94</v>
      </c>
      <c r="R179" s="4">
        <v>4</v>
      </c>
      <c r="S179" s="4">
        <v>27</v>
      </c>
      <c r="T179" s="4">
        <v>98</v>
      </c>
      <c r="U179" s="4">
        <v>1</v>
      </c>
      <c r="V179" s="4">
        <v>2</v>
      </c>
      <c r="W179" s="4">
        <v>338.5</v>
      </c>
      <c r="X179" s="4">
        <v>10</v>
      </c>
      <c r="Y179" s="4">
        <v>247</v>
      </c>
      <c r="Z179" s="4">
        <v>267</v>
      </c>
      <c r="AA179" s="4">
        <v>7</v>
      </c>
      <c r="AB179" s="4">
        <v>118</v>
      </c>
      <c r="AC179" s="4">
        <v>605.5</v>
      </c>
      <c r="AD179" s="4">
        <v>8</v>
      </c>
      <c r="AE179" s="4">
        <v>160</v>
      </c>
    </row>
    <row r="180" spans="2:31" x14ac:dyDescent="0.5">
      <c r="C180" s="2" t="s">
        <v>49</v>
      </c>
      <c r="D180" s="3">
        <v>36</v>
      </c>
      <c r="E180" s="4">
        <v>91</v>
      </c>
      <c r="F180" s="4">
        <v>43</v>
      </c>
      <c r="G180" s="4">
        <v>914</v>
      </c>
      <c r="H180" s="4">
        <v>109</v>
      </c>
      <c r="I180" s="4">
        <v>11</v>
      </c>
      <c r="J180" s="4">
        <v>227</v>
      </c>
      <c r="K180" s="4">
        <v>138.5</v>
      </c>
      <c r="L180" s="4">
        <v>3</v>
      </c>
      <c r="M180" s="4">
        <v>94</v>
      </c>
      <c r="N180" s="4">
        <v>75</v>
      </c>
      <c r="O180" s="4">
        <v>19</v>
      </c>
      <c r="P180" s="4">
        <v>353</v>
      </c>
      <c r="Q180" s="4">
        <v>94</v>
      </c>
      <c r="R180" s="4">
        <v>4</v>
      </c>
      <c r="S180" s="4">
        <v>27</v>
      </c>
      <c r="T180" s="4">
        <v>98</v>
      </c>
      <c r="U180" s="4">
        <v>1</v>
      </c>
      <c r="V180" s="4">
        <v>2</v>
      </c>
      <c r="W180" s="4">
        <v>338.5</v>
      </c>
      <c r="X180" s="4">
        <v>10</v>
      </c>
      <c r="Y180" s="4">
        <v>247</v>
      </c>
      <c r="Z180" s="4">
        <v>267</v>
      </c>
      <c r="AA180" s="4">
        <v>7</v>
      </c>
      <c r="AB180" s="4">
        <v>118</v>
      </c>
      <c r="AC180" s="4">
        <v>605.5</v>
      </c>
      <c r="AD180" s="4">
        <v>8</v>
      </c>
      <c r="AE180" s="4">
        <v>160</v>
      </c>
    </row>
    <row r="182" spans="2:31" ht="14.1" customHeight="1" x14ac:dyDescent="0.5">
      <c r="B182" t="s">
        <v>85</v>
      </c>
      <c r="C182" s="18" t="s">
        <v>73</v>
      </c>
      <c r="D182" s="20" t="s">
        <v>0</v>
      </c>
      <c r="E182" s="12" t="s">
        <v>1</v>
      </c>
      <c r="F182" s="13"/>
      <c r="G182" s="14"/>
      <c r="H182" s="12" t="s">
        <v>2</v>
      </c>
      <c r="I182" s="13"/>
      <c r="J182" s="14"/>
      <c r="K182" s="12" t="s">
        <v>3</v>
      </c>
      <c r="L182" s="13"/>
      <c r="M182" s="14"/>
      <c r="N182" s="12" t="s">
        <v>4</v>
      </c>
      <c r="O182" s="13"/>
      <c r="P182" s="14"/>
      <c r="Q182" s="12" t="s">
        <v>5</v>
      </c>
      <c r="R182" s="13"/>
      <c r="S182" s="14"/>
      <c r="T182" s="12" t="s">
        <v>6</v>
      </c>
      <c r="U182" s="13"/>
      <c r="V182" s="14"/>
      <c r="W182" s="12" t="s">
        <v>7</v>
      </c>
      <c r="X182" s="13"/>
      <c r="Y182" s="14"/>
      <c r="Z182" s="12" t="s">
        <v>8</v>
      </c>
      <c r="AA182" s="13"/>
      <c r="AB182" s="14"/>
      <c r="AC182" s="15" t="s">
        <v>75</v>
      </c>
      <c r="AD182" s="16"/>
      <c r="AE182" s="17"/>
    </row>
    <row r="183" spans="2:31" x14ac:dyDescent="0.5">
      <c r="C183" s="19"/>
      <c r="D183" s="21"/>
      <c r="E183" s="8" t="s">
        <v>9</v>
      </c>
      <c r="F183" s="8" t="s">
        <v>10</v>
      </c>
      <c r="G183" s="8" t="s">
        <v>11</v>
      </c>
      <c r="H183" s="8" t="s">
        <v>9</v>
      </c>
      <c r="I183" s="8" t="s">
        <v>10</v>
      </c>
      <c r="J183" s="8" t="s">
        <v>11</v>
      </c>
      <c r="K183" s="8" t="s">
        <v>9</v>
      </c>
      <c r="L183" s="8" t="s">
        <v>10</v>
      </c>
      <c r="M183" s="8" t="s">
        <v>11</v>
      </c>
      <c r="N183" s="8" t="s">
        <v>9</v>
      </c>
      <c r="O183" s="8" t="s">
        <v>10</v>
      </c>
      <c r="P183" s="8" t="s">
        <v>11</v>
      </c>
      <c r="Q183" s="8" t="s">
        <v>9</v>
      </c>
      <c r="R183" s="8" t="s">
        <v>10</v>
      </c>
      <c r="S183" s="8" t="s">
        <v>11</v>
      </c>
      <c r="T183" s="8" t="s">
        <v>9</v>
      </c>
      <c r="U183" s="8" t="s">
        <v>10</v>
      </c>
      <c r="V183" s="8" t="s">
        <v>11</v>
      </c>
      <c r="W183" s="8" t="s">
        <v>9</v>
      </c>
      <c r="X183" s="8" t="s">
        <v>10</v>
      </c>
      <c r="Y183" s="8" t="s">
        <v>11</v>
      </c>
      <c r="Z183" s="8" t="s">
        <v>9</v>
      </c>
      <c r="AA183" s="8" t="s">
        <v>10</v>
      </c>
      <c r="AB183" s="8" t="s">
        <v>11</v>
      </c>
      <c r="AC183" s="8" t="s">
        <v>12</v>
      </c>
      <c r="AD183" s="8" t="s">
        <v>13</v>
      </c>
      <c r="AE183" s="9" t="s">
        <v>11</v>
      </c>
    </row>
    <row r="184" spans="2:31" x14ac:dyDescent="0.5">
      <c r="C184" s="2" t="s">
        <v>50</v>
      </c>
      <c r="D184" s="3">
        <v>37</v>
      </c>
      <c r="E184" s="4">
        <v>107</v>
      </c>
      <c r="F184" s="4">
        <v>14</v>
      </c>
      <c r="G184" s="4">
        <v>243</v>
      </c>
      <c r="H184" s="4">
        <v>95</v>
      </c>
      <c r="I184" s="4">
        <v>22</v>
      </c>
      <c r="J184" s="4">
        <v>483</v>
      </c>
      <c r="K184" s="4">
        <v>134.5</v>
      </c>
      <c r="L184" s="4">
        <v>9</v>
      </c>
      <c r="M184" s="4">
        <v>231</v>
      </c>
      <c r="N184" s="4">
        <v>80</v>
      </c>
      <c r="O184" s="4">
        <v>15</v>
      </c>
      <c r="P184" s="4">
        <v>264</v>
      </c>
      <c r="Q184" s="4">
        <v>86</v>
      </c>
      <c r="R184" s="4">
        <v>14</v>
      </c>
      <c r="S184" s="4">
        <v>220</v>
      </c>
      <c r="T184" s="4">
        <v>94</v>
      </c>
      <c r="U184" s="4">
        <v>5</v>
      </c>
      <c r="V184" s="4">
        <v>50</v>
      </c>
      <c r="W184" s="4">
        <v>336.5</v>
      </c>
      <c r="X184" s="4">
        <v>13</v>
      </c>
      <c r="Y184" s="4">
        <v>279</v>
      </c>
      <c r="Z184" s="4">
        <v>260</v>
      </c>
      <c r="AA184" s="4">
        <v>12</v>
      </c>
      <c r="AB184" s="4">
        <v>169</v>
      </c>
      <c r="AC184" s="4">
        <v>596.5</v>
      </c>
      <c r="AD184" s="4">
        <v>11</v>
      </c>
      <c r="AE184" s="4">
        <v>194</v>
      </c>
    </row>
    <row r="185" spans="2:31" x14ac:dyDescent="0.5">
      <c r="C185" s="2" t="s">
        <v>50</v>
      </c>
      <c r="D185" s="3">
        <v>37</v>
      </c>
      <c r="E185" s="4">
        <v>107</v>
      </c>
      <c r="F185" s="4">
        <v>14</v>
      </c>
      <c r="G185" s="4">
        <v>243</v>
      </c>
      <c r="H185" s="4">
        <v>95</v>
      </c>
      <c r="I185" s="4">
        <v>22</v>
      </c>
      <c r="J185" s="4">
        <v>483</v>
      </c>
      <c r="K185" s="4">
        <v>134.5</v>
      </c>
      <c r="L185" s="4">
        <v>9</v>
      </c>
      <c r="M185" s="4">
        <v>231</v>
      </c>
      <c r="N185" s="4">
        <v>80</v>
      </c>
      <c r="O185" s="4">
        <v>15</v>
      </c>
      <c r="P185" s="4">
        <v>264</v>
      </c>
      <c r="Q185" s="4">
        <v>86</v>
      </c>
      <c r="R185" s="4">
        <v>14</v>
      </c>
      <c r="S185" s="4">
        <v>220</v>
      </c>
      <c r="T185" s="4">
        <v>94</v>
      </c>
      <c r="U185" s="4">
        <v>5</v>
      </c>
      <c r="V185" s="4">
        <v>50</v>
      </c>
      <c r="W185" s="4">
        <v>336.5</v>
      </c>
      <c r="X185" s="4">
        <v>13</v>
      </c>
      <c r="Y185" s="4">
        <v>279</v>
      </c>
      <c r="Z185" s="4">
        <v>260</v>
      </c>
      <c r="AA185" s="4">
        <v>12</v>
      </c>
      <c r="AB185" s="4">
        <v>169</v>
      </c>
      <c r="AC185" s="4">
        <v>596.5</v>
      </c>
      <c r="AD185" s="4">
        <v>11</v>
      </c>
      <c r="AE185" s="4">
        <v>194</v>
      </c>
    </row>
    <row r="187" spans="2:31" ht="14.1" customHeight="1" x14ac:dyDescent="0.5">
      <c r="B187" t="s">
        <v>85</v>
      </c>
      <c r="C187" s="18" t="s">
        <v>73</v>
      </c>
      <c r="D187" s="20" t="s">
        <v>0</v>
      </c>
      <c r="E187" s="12" t="s">
        <v>1</v>
      </c>
      <c r="F187" s="13"/>
      <c r="G187" s="14"/>
      <c r="H187" s="12" t="s">
        <v>2</v>
      </c>
      <c r="I187" s="13"/>
      <c r="J187" s="14"/>
      <c r="K187" s="12" t="s">
        <v>3</v>
      </c>
      <c r="L187" s="13"/>
      <c r="M187" s="14"/>
      <c r="N187" s="12" t="s">
        <v>4</v>
      </c>
      <c r="O187" s="13"/>
      <c r="P187" s="14"/>
      <c r="Q187" s="12" t="s">
        <v>5</v>
      </c>
      <c r="R187" s="13"/>
      <c r="S187" s="14"/>
      <c r="T187" s="12" t="s">
        <v>6</v>
      </c>
      <c r="U187" s="13"/>
      <c r="V187" s="14"/>
      <c r="W187" s="12" t="s">
        <v>7</v>
      </c>
      <c r="X187" s="13"/>
      <c r="Y187" s="14"/>
      <c r="Z187" s="12" t="s">
        <v>8</v>
      </c>
      <c r="AA187" s="13"/>
      <c r="AB187" s="14"/>
      <c r="AC187" s="15" t="s">
        <v>75</v>
      </c>
      <c r="AD187" s="16"/>
      <c r="AE187" s="17"/>
    </row>
    <row r="188" spans="2:31" x14ac:dyDescent="0.5">
      <c r="C188" s="19"/>
      <c r="D188" s="21"/>
      <c r="E188" s="8" t="s">
        <v>9</v>
      </c>
      <c r="F188" s="8" t="s">
        <v>10</v>
      </c>
      <c r="G188" s="8" t="s">
        <v>11</v>
      </c>
      <c r="H188" s="8" t="s">
        <v>9</v>
      </c>
      <c r="I188" s="8" t="s">
        <v>10</v>
      </c>
      <c r="J188" s="8" t="s">
        <v>11</v>
      </c>
      <c r="K188" s="8" t="s">
        <v>9</v>
      </c>
      <c r="L188" s="8" t="s">
        <v>10</v>
      </c>
      <c r="M188" s="8" t="s">
        <v>11</v>
      </c>
      <c r="N188" s="8" t="s">
        <v>9</v>
      </c>
      <c r="O188" s="8" t="s">
        <v>10</v>
      </c>
      <c r="P188" s="8" t="s">
        <v>11</v>
      </c>
      <c r="Q188" s="8" t="s">
        <v>9</v>
      </c>
      <c r="R188" s="8" t="s">
        <v>10</v>
      </c>
      <c r="S188" s="8" t="s">
        <v>11</v>
      </c>
      <c r="T188" s="8" t="s">
        <v>9</v>
      </c>
      <c r="U188" s="8" t="s">
        <v>10</v>
      </c>
      <c r="V188" s="8" t="s">
        <v>11</v>
      </c>
      <c r="W188" s="8" t="s">
        <v>9</v>
      </c>
      <c r="X188" s="8" t="s">
        <v>10</v>
      </c>
      <c r="Y188" s="8" t="s">
        <v>11</v>
      </c>
      <c r="Z188" s="8" t="s">
        <v>9</v>
      </c>
      <c r="AA188" s="8" t="s">
        <v>10</v>
      </c>
      <c r="AB188" s="8" t="s">
        <v>11</v>
      </c>
      <c r="AC188" s="8" t="s">
        <v>12</v>
      </c>
      <c r="AD188" s="8" t="s">
        <v>13</v>
      </c>
      <c r="AE188" s="9" t="s">
        <v>11</v>
      </c>
    </row>
    <row r="189" spans="2:31" x14ac:dyDescent="0.5">
      <c r="C189" s="2" t="s">
        <v>51</v>
      </c>
      <c r="D189" s="3">
        <v>38</v>
      </c>
      <c r="E189" s="4">
        <v>94</v>
      </c>
      <c r="F189" s="4">
        <v>37</v>
      </c>
      <c r="G189" s="4">
        <v>795</v>
      </c>
      <c r="H189" s="4">
        <v>61</v>
      </c>
      <c r="I189" s="4">
        <v>52</v>
      </c>
      <c r="J189" s="4">
        <v>1151</v>
      </c>
      <c r="K189" s="4">
        <v>117</v>
      </c>
      <c r="L189" s="4">
        <v>42</v>
      </c>
      <c r="M189" s="4">
        <v>847</v>
      </c>
      <c r="N189" s="4">
        <v>43</v>
      </c>
      <c r="O189" s="4">
        <v>49</v>
      </c>
      <c r="P189" s="4">
        <v>1046</v>
      </c>
      <c r="Q189" s="4">
        <v>70</v>
      </c>
      <c r="R189" s="4">
        <v>41</v>
      </c>
      <c r="S189" s="4">
        <v>743</v>
      </c>
      <c r="T189" s="4">
        <v>80</v>
      </c>
      <c r="U189" s="4">
        <v>33</v>
      </c>
      <c r="V189" s="4">
        <v>497</v>
      </c>
      <c r="W189" s="4">
        <v>272</v>
      </c>
      <c r="X189" s="4">
        <v>51</v>
      </c>
      <c r="Y189" s="4">
        <v>1048</v>
      </c>
      <c r="Z189" s="4">
        <v>193</v>
      </c>
      <c r="AA189" s="4">
        <v>44</v>
      </c>
      <c r="AB189" s="4">
        <v>812</v>
      </c>
      <c r="AC189" s="4">
        <v>465</v>
      </c>
      <c r="AD189" s="4">
        <v>48</v>
      </c>
      <c r="AE189" s="4">
        <v>925</v>
      </c>
    </row>
    <row r="190" spans="2:31" x14ac:dyDescent="0.5">
      <c r="C190" s="2" t="s">
        <v>51</v>
      </c>
      <c r="D190" s="3">
        <v>38</v>
      </c>
      <c r="E190" s="4">
        <v>94</v>
      </c>
      <c r="F190" s="4">
        <v>37</v>
      </c>
      <c r="G190" s="4">
        <v>795</v>
      </c>
      <c r="H190" s="4">
        <v>61</v>
      </c>
      <c r="I190" s="4">
        <v>52</v>
      </c>
      <c r="J190" s="4">
        <v>1151</v>
      </c>
      <c r="K190" s="4">
        <v>117</v>
      </c>
      <c r="L190" s="4">
        <v>42</v>
      </c>
      <c r="M190" s="4">
        <v>847</v>
      </c>
      <c r="N190" s="4">
        <v>43</v>
      </c>
      <c r="O190" s="4">
        <v>49</v>
      </c>
      <c r="P190" s="4">
        <v>1046</v>
      </c>
      <c r="Q190" s="4">
        <v>70</v>
      </c>
      <c r="R190" s="4">
        <v>41</v>
      </c>
      <c r="S190" s="4">
        <v>743</v>
      </c>
      <c r="T190" s="4">
        <v>80</v>
      </c>
      <c r="U190" s="4">
        <v>33</v>
      </c>
      <c r="V190" s="4">
        <v>497</v>
      </c>
      <c r="W190" s="4">
        <v>272</v>
      </c>
      <c r="X190" s="4">
        <v>51</v>
      </c>
      <c r="Y190" s="4">
        <v>1048</v>
      </c>
      <c r="Z190" s="4">
        <v>193</v>
      </c>
      <c r="AA190" s="4">
        <v>44</v>
      </c>
      <c r="AB190" s="4">
        <v>812</v>
      </c>
      <c r="AC190" s="4">
        <v>465</v>
      </c>
      <c r="AD190" s="4">
        <v>48</v>
      </c>
      <c r="AE190" s="4">
        <v>925</v>
      </c>
    </row>
    <row r="192" spans="2:31" ht="14.1" customHeight="1" x14ac:dyDescent="0.5">
      <c r="B192" t="s">
        <v>85</v>
      </c>
      <c r="C192" s="18" t="s">
        <v>73</v>
      </c>
      <c r="D192" s="20" t="s">
        <v>0</v>
      </c>
      <c r="E192" s="12" t="s">
        <v>1</v>
      </c>
      <c r="F192" s="13"/>
      <c r="G192" s="14"/>
      <c r="H192" s="12" t="s">
        <v>2</v>
      </c>
      <c r="I192" s="13"/>
      <c r="J192" s="14"/>
      <c r="K192" s="12" t="s">
        <v>3</v>
      </c>
      <c r="L192" s="13"/>
      <c r="M192" s="14"/>
      <c r="N192" s="12" t="s">
        <v>4</v>
      </c>
      <c r="O192" s="13"/>
      <c r="P192" s="14"/>
      <c r="Q192" s="12" t="s">
        <v>5</v>
      </c>
      <c r="R192" s="13"/>
      <c r="S192" s="14"/>
      <c r="T192" s="12" t="s">
        <v>6</v>
      </c>
      <c r="U192" s="13"/>
      <c r="V192" s="14"/>
      <c r="W192" s="12" t="s">
        <v>7</v>
      </c>
      <c r="X192" s="13"/>
      <c r="Y192" s="14"/>
      <c r="Z192" s="12" t="s">
        <v>8</v>
      </c>
      <c r="AA192" s="13"/>
      <c r="AB192" s="14"/>
      <c r="AC192" s="15" t="s">
        <v>75</v>
      </c>
      <c r="AD192" s="16"/>
      <c r="AE192" s="17"/>
    </row>
    <row r="193" spans="2:31" x14ac:dyDescent="0.5">
      <c r="C193" s="19"/>
      <c r="D193" s="21"/>
      <c r="E193" s="8" t="s">
        <v>9</v>
      </c>
      <c r="F193" s="8" t="s">
        <v>10</v>
      </c>
      <c r="G193" s="8" t="s">
        <v>11</v>
      </c>
      <c r="H193" s="8" t="s">
        <v>9</v>
      </c>
      <c r="I193" s="8" t="s">
        <v>10</v>
      </c>
      <c r="J193" s="8" t="s">
        <v>11</v>
      </c>
      <c r="K193" s="8" t="s">
        <v>9</v>
      </c>
      <c r="L193" s="8" t="s">
        <v>10</v>
      </c>
      <c r="M193" s="8" t="s">
        <v>11</v>
      </c>
      <c r="N193" s="8" t="s">
        <v>9</v>
      </c>
      <c r="O193" s="8" t="s">
        <v>10</v>
      </c>
      <c r="P193" s="8" t="s">
        <v>11</v>
      </c>
      <c r="Q193" s="8" t="s">
        <v>9</v>
      </c>
      <c r="R193" s="8" t="s">
        <v>10</v>
      </c>
      <c r="S193" s="8" t="s">
        <v>11</v>
      </c>
      <c r="T193" s="8" t="s">
        <v>9</v>
      </c>
      <c r="U193" s="8" t="s">
        <v>10</v>
      </c>
      <c r="V193" s="8" t="s">
        <v>11</v>
      </c>
      <c r="W193" s="8" t="s">
        <v>9</v>
      </c>
      <c r="X193" s="8" t="s">
        <v>10</v>
      </c>
      <c r="Y193" s="8" t="s">
        <v>11</v>
      </c>
      <c r="Z193" s="8" t="s">
        <v>9</v>
      </c>
      <c r="AA193" s="8" t="s">
        <v>10</v>
      </c>
      <c r="AB193" s="8" t="s">
        <v>11</v>
      </c>
      <c r="AC193" s="8" t="s">
        <v>12</v>
      </c>
      <c r="AD193" s="8" t="s">
        <v>13</v>
      </c>
      <c r="AE193" s="9" t="s">
        <v>11</v>
      </c>
    </row>
    <row r="194" spans="2:31" x14ac:dyDescent="0.5">
      <c r="C194" s="2" t="s">
        <v>52</v>
      </c>
      <c r="D194" s="3">
        <v>39</v>
      </c>
      <c r="E194" s="4">
        <v>75</v>
      </c>
      <c r="F194" s="4">
        <v>55</v>
      </c>
      <c r="G194" s="4">
        <v>1345</v>
      </c>
      <c r="H194" s="4">
        <v>93</v>
      </c>
      <c r="I194" s="4">
        <v>26</v>
      </c>
      <c r="J194" s="4">
        <v>526</v>
      </c>
      <c r="K194" s="4">
        <v>101</v>
      </c>
      <c r="L194" s="4">
        <v>57</v>
      </c>
      <c r="M194" s="4">
        <v>1231</v>
      </c>
      <c r="N194" s="4">
        <v>55</v>
      </c>
      <c r="O194" s="4">
        <v>36</v>
      </c>
      <c r="P194" s="4">
        <v>810</v>
      </c>
      <c r="Q194" s="4">
        <v>86</v>
      </c>
      <c r="R194" s="4">
        <v>14</v>
      </c>
      <c r="S194" s="4">
        <v>220</v>
      </c>
      <c r="T194" s="4">
        <v>84</v>
      </c>
      <c r="U194" s="4">
        <v>23</v>
      </c>
      <c r="V194" s="4">
        <v>379</v>
      </c>
      <c r="W194" s="4">
        <v>269</v>
      </c>
      <c r="X194" s="4">
        <v>53</v>
      </c>
      <c r="Y194" s="4">
        <v>1067</v>
      </c>
      <c r="Z194" s="4">
        <v>225</v>
      </c>
      <c r="AA194" s="4">
        <v>26</v>
      </c>
      <c r="AB194" s="4">
        <v>485</v>
      </c>
      <c r="AC194" s="4">
        <v>494</v>
      </c>
      <c r="AD194" s="4">
        <v>42</v>
      </c>
      <c r="AE194" s="4">
        <v>761</v>
      </c>
    </row>
    <row r="195" spans="2:31" x14ac:dyDescent="0.5">
      <c r="C195" s="2" t="s">
        <v>52</v>
      </c>
      <c r="D195" s="3">
        <v>39</v>
      </c>
      <c r="E195" s="4">
        <v>75</v>
      </c>
      <c r="F195" s="4">
        <v>55</v>
      </c>
      <c r="G195" s="4">
        <v>1345</v>
      </c>
      <c r="H195" s="4">
        <v>93</v>
      </c>
      <c r="I195" s="4">
        <v>26</v>
      </c>
      <c r="J195" s="4">
        <v>526</v>
      </c>
      <c r="K195" s="4">
        <v>101</v>
      </c>
      <c r="L195" s="4">
        <v>57</v>
      </c>
      <c r="M195" s="4">
        <v>1231</v>
      </c>
      <c r="N195" s="4">
        <v>55</v>
      </c>
      <c r="O195" s="4">
        <v>36</v>
      </c>
      <c r="P195" s="4">
        <v>810</v>
      </c>
      <c r="Q195" s="4">
        <v>86</v>
      </c>
      <c r="R195" s="4">
        <v>14</v>
      </c>
      <c r="S195" s="4">
        <v>220</v>
      </c>
      <c r="T195" s="4">
        <v>84</v>
      </c>
      <c r="U195" s="4">
        <v>23</v>
      </c>
      <c r="V195" s="4">
        <v>379</v>
      </c>
      <c r="W195" s="4">
        <v>269</v>
      </c>
      <c r="X195" s="4">
        <v>53</v>
      </c>
      <c r="Y195" s="4">
        <v>1067</v>
      </c>
      <c r="Z195" s="4">
        <v>225</v>
      </c>
      <c r="AA195" s="4">
        <v>26</v>
      </c>
      <c r="AB195" s="4">
        <v>485</v>
      </c>
      <c r="AC195" s="4">
        <v>494</v>
      </c>
      <c r="AD195" s="4">
        <v>42</v>
      </c>
      <c r="AE195" s="4">
        <v>761</v>
      </c>
    </row>
    <row r="197" spans="2:31" ht="14.1" customHeight="1" x14ac:dyDescent="0.5">
      <c r="B197" t="s">
        <v>85</v>
      </c>
      <c r="C197" s="18" t="s">
        <v>73</v>
      </c>
      <c r="D197" s="20" t="s">
        <v>0</v>
      </c>
      <c r="E197" s="12" t="s">
        <v>1</v>
      </c>
      <c r="F197" s="13"/>
      <c r="G197" s="14"/>
      <c r="H197" s="12" t="s">
        <v>2</v>
      </c>
      <c r="I197" s="13"/>
      <c r="J197" s="14"/>
      <c r="K197" s="12" t="s">
        <v>3</v>
      </c>
      <c r="L197" s="13"/>
      <c r="M197" s="14"/>
      <c r="N197" s="12" t="s">
        <v>4</v>
      </c>
      <c r="O197" s="13"/>
      <c r="P197" s="14"/>
      <c r="Q197" s="12" t="s">
        <v>5</v>
      </c>
      <c r="R197" s="13"/>
      <c r="S197" s="14"/>
      <c r="T197" s="12" t="s">
        <v>6</v>
      </c>
      <c r="U197" s="13"/>
      <c r="V197" s="14"/>
      <c r="W197" s="12" t="s">
        <v>7</v>
      </c>
      <c r="X197" s="13"/>
      <c r="Y197" s="14"/>
      <c r="Z197" s="12" t="s">
        <v>8</v>
      </c>
      <c r="AA197" s="13"/>
      <c r="AB197" s="14"/>
      <c r="AC197" s="15" t="s">
        <v>75</v>
      </c>
      <c r="AD197" s="16"/>
      <c r="AE197" s="17"/>
    </row>
    <row r="198" spans="2:31" x14ac:dyDescent="0.5">
      <c r="C198" s="19"/>
      <c r="D198" s="21"/>
      <c r="E198" s="8" t="s">
        <v>9</v>
      </c>
      <c r="F198" s="8" t="s">
        <v>10</v>
      </c>
      <c r="G198" s="8" t="s">
        <v>11</v>
      </c>
      <c r="H198" s="8" t="s">
        <v>9</v>
      </c>
      <c r="I198" s="8" t="s">
        <v>10</v>
      </c>
      <c r="J198" s="8" t="s">
        <v>11</v>
      </c>
      <c r="K198" s="8" t="s">
        <v>9</v>
      </c>
      <c r="L198" s="8" t="s">
        <v>10</v>
      </c>
      <c r="M198" s="8" t="s">
        <v>11</v>
      </c>
      <c r="N198" s="8" t="s">
        <v>9</v>
      </c>
      <c r="O198" s="8" t="s">
        <v>10</v>
      </c>
      <c r="P198" s="8" t="s">
        <v>11</v>
      </c>
      <c r="Q198" s="8" t="s">
        <v>9</v>
      </c>
      <c r="R198" s="8" t="s">
        <v>10</v>
      </c>
      <c r="S198" s="8" t="s">
        <v>11</v>
      </c>
      <c r="T198" s="8" t="s">
        <v>9</v>
      </c>
      <c r="U198" s="8" t="s">
        <v>10</v>
      </c>
      <c r="V198" s="8" t="s">
        <v>11</v>
      </c>
      <c r="W198" s="8" t="s">
        <v>9</v>
      </c>
      <c r="X198" s="8" t="s">
        <v>10</v>
      </c>
      <c r="Y198" s="8" t="s">
        <v>11</v>
      </c>
      <c r="Z198" s="8" t="s">
        <v>9</v>
      </c>
      <c r="AA198" s="8" t="s">
        <v>10</v>
      </c>
      <c r="AB198" s="8" t="s">
        <v>11</v>
      </c>
      <c r="AC198" s="8" t="s">
        <v>12</v>
      </c>
      <c r="AD198" s="8" t="s">
        <v>13</v>
      </c>
      <c r="AE198" s="9" t="s">
        <v>11</v>
      </c>
    </row>
    <row r="199" spans="2:31" x14ac:dyDescent="0.5">
      <c r="C199" s="2" t="s">
        <v>53</v>
      </c>
      <c r="D199" s="3">
        <v>40</v>
      </c>
      <c r="E199" s="4">
        <v>96</v>
      </c>
      <c r="F199" s="4">
        <v>33</v>
      </c>
      <c r="G199" s="4">
        <v>696</v>
      </c>
      <c r="H199" s="4">
        <v>69</v>
      </c>
      <c r="I199" s="4">
        <v>48</v>
      </c>
      <c r="J199" s="4">
        <v>1027</v>
      </c>
      <c r="K199" s="4">
        <v>126</v>
      </c>
      <c r="L199" s="4">
        <v>26</v>
      </c>
      <c r="M199" s="4">
        <v>521</v>
      </c>
      <c r="N199" s="4">
        <v>52</v>
      </c>
      <c r="O199" s="4">
        <v>38</v>
      </c>
      <c r="P199" s="4">
        <v>860</v>
      </c>
      <c r="Q199" s="4">
        <v>77</v>
      </c>
      <c r="R199" s="4">
        <v>30</v>
      </c>
      <c r="S199" s="4">
        <v>518</v>
      </c>
      <c r="T199" s="4">
        <v>83</v>
      </c>
      <c r="U199" s="4">
        <v>26</v>
      </c>
      <c r="V199" s="4">
        <v>407</v>
      </c>
      <c r="W199" s="4">
        <v>291</v>
      </c>
      <c r="X199" s="4">
        <v>42</v>
      </c>
      <c r="Y199" s="4">
        <v>849</v>
      </c>
      <c r="Z199" s="4">
        <v>212</v>
      </c>
      <c r="AA199" s="4">
        <v>33</v>
      </c>
      <c r="AB199" s="4">
        <v>615</v>
      </c>
      <c r="AC199" s="4">
        <v>503</v>
      </c>
      <c r="AD199" s="4">
        <v>38</v>
      </c>
      <c r="AE199" s="4">
        <v>711</v>
      </c>
    </row>
    <row r="200" spans="2:31" x14ac:dyDescent="0.5">
      <c r="C200" s="2" t="s">
        <v>53</v>
      </c>
      <c r="D200" s="3">
        <v>40</v>
      </c>
      <c r="E200" s="4">
        <v>96</v>
      </c>
      <c r="F200" s="4">
        <v>33</v>
      </c>
      <c r="G200" s="4">
        <v>696</v>
      </c>
      <c r="H200" s="4">
        <v>69</v>
      </c>
      <c r="I200" s="4">
        <v>48</v>
      </c>
      <c r="J200" s="4">
        <v>1027</v>
      </c>
      <c r="K200" s="4">
        <v>126</v>
      </c>
      <c r="L200" s="4">
        <v>26</v>
      </c>
      <c r="M200" s="4">
        <v>521</v>
      </c>
      <c r="N200" s="4">
        <v>52</v>
      </c>
      <c r="O200" s="4">
        <v>38</v>
      </c>
      <c r="P200" s="4">
        <v>860</v>
      </c>
      <c r="Q200" s="4">
        <v>77</v>
      </c>
      <c r="R200" s="4">
        <v>30</v>
      </c>
      <c r="S200" s="4">
        <v>518</v>
      </c>
      <c r="T200" s="4">
        <v>83</v>
      </c>
      <c r="U200" s="4">
        <v>26</v>
      </c>
      <c r="V200" s="4">
        <v>407</v>
      </c>
      <c r="W200" s="4">
        <v>291</v>
      </c>
      <c r="X200" s="4">
        <v>42</v>
      </c>
      <c r="Y200" s="4">
        <v>849</v>
      </c>
      <c r="Z200" s="4">
        <v>212</v>
      </c>
      <c r="AA200" s="4">
        <v>33</v>
      </c>
      <c r="AB200" s="4">
        <v>615</v>
      </c>
      <c r="AC200" s="4">
        <v>503</v>
      </c>
      <c r="AD200" s="4">
        <v>38</v>
      </c>
      <c r="AE200" s="4">
        <v>711</v>
      </c>
    </row>
    <row r="202" spans="2:31" ht="14.1" customHeight="1" x14ac:dyDescent="0.5">
      <c r="B202" t="s">
        <v>85</v>
      </c>
      <c r="C202" s="18" t="s">
        <v>73</v>
      </c>
      <c r="D202" s="20" t="s">
        <v>0</v>
      </c>
      <c r="E202" s="12" t="s">
        <v>1</v>
      </c>
      <c r="F202" s="13"/>
      <c r="G202" s="14"/>
      <c r="H202" s="12" t="s">
        <v>2</v>
      </c>
      <c r="I202" s="13"/>
      <c r="J202" s="14"/>
      <c r="K202" s="12" t="s">
        <v>3</v>
      </c>
      <c r="L202" s="13"/>
      <c r="M202" s="14"/>
      <c r="N202" s="12" t="s">
        <v>4</v>
      </c>
      <c r="O202" s="13"/>
      <c r="P202" s="14"/>
      <c r="Q202" s="12" t="s">
        <v>5</v>
      </c>
      <c r="R202" s="13"/>
      <c r="S202" s="14"/>
      <c r="T202" s="12" t="s">
        <v>6</v>
      </c>
      <c r="U202" s="13"/>
      <c r="V202" s="14"/>
      <c r="W202" s="12" t="s">
        <v>7</v>
      </c>
      <c r="X202" s="13"/>
      <c r="Y202" s="14"/>
      <c r="Z202" s="12" t="s">
        <v>8</v>
      </c>
      <c r="AA202" s="13"/>
      <c r="AB202" s="14"/>
      <c r="AC202" s="15" t="s">
        <v>75</v>
      </c>
      <c r="AD202" s="16"/>
      <c r="AE202" s="17"/>
    </row>
    <row r="203" spans="2:31" x14ac:dyDescent="0.5">
      <c r="C203" s="19"/>
      <c r="D203" s="21"/>
      <c r="E203" s="8" t="s">
        <v>9</v>
      </c>
      <c r="F203" s="8" t="s">
        <v>10</v>
      </c>
      <c r="G203" s="8" t="s">
        <v>11</v>
      </c>
      <c r="H203" s="8" t="s">
        <v>9</v>
      </c>
      <c r="I203" s="8" t="s">
        <v>10</v>
      </c>
      <c r="J203" s="8" t="s">
        <v>11</v>
      </c>
      <c r="K203" s="8" t="s">
        <v>9</v>
      </c>
      <c r="L203" s="8" t="s">
        <v>10</v>
      </c>
      <c r="M203" s="8" t="s">
        <v>11</v>
      </c>
      <c r="N203" s="8" t="s">
        <v>9</v>
      </c>
      <c r="O203" s="8" t="s">
        <v>10</v>
      </c>
      <c r="P203" s="8" t="s">
        <v>11</v>
      </c>
      <c r="Q203" s="8" t="s">
        <v>9</v>
      </c>
      <c r="R203" s="8" t="s">
        <v>10</v>
      </c>
      <c r="S203" s="8" t="s">
        <v>11</v>
      </c>
      <c r="T203" s="8" t="s">
        <v>9</v>
      </c>
      <c r="U203" s="8" t="s">
        <v>10</v>
      </c>
      <c r="V203" s="8" t="s">
        <v>11</v>
      </c>
      <c r="W203" s="8" t="s">
        <v>9</v>
      </c>
      <c r="X203" s="8" t="s">
        <v>10</v>
      </c>
      <c r="Y203" s="8" t="s">
        <v>11</v>
      </c>
      <c r="Z203" s="8" t="s">
        <v>9</v>
      </c>
      <c r="AA203" s="8" t="s">
        <v>10</v>
      </c>
      <c r="AB203" s="8" t="s">
        <v>11</v>
      </c>
      <c r="AC203" s="8" t="s">
        <v>12</v>
      </c>
      <c r="AD203" s="8" t="s">
        <v>13</v>
      </c>
      <c r="AE203" s="9" t="s">
        <v>11</v>
      </c>
    </row>
    <row r="204" spans="2:31" x14ac:dyDescent="0.5">
      <c r="C204" s="2" t="s">
        <v>54</v>
      </c>
      <c r="D204" s="3">
        <v>41</v>
      </c>
      <c r="E204" s="4">
        <v>94</v>
      </c>
      <c r="F204" s="4">
        <v>37</v>
      </c>
      <c r="G204" s="4">
        <v>795</v>
      </c>
      <c r="H204" s="4">
        <v>115</v>
      </c>
      <c r="I204" s="4">
        <v>7</v>
      </c>
      <c r="J204" s="4">
        <v>147</v>
      </c>
      <c r="K204" s="4">
        <v>115</v>
      </c>
      <c r="L204" s="4">
        <v>44</v>
      </c>
      <c r="M204" s="4">
        <v>916</v>
      </c>
      <c r="N204" s="4">
        <v>93</v>
      </c>
      <c r="O204" s="4">
        <v>6</v>
      </c>
      <c r="P204" s="4">
        <v>88</v>
      </c>
      <c r="Q204" s="4">
        <v>96</v>
      </c>
      <c r="R204" s="4">
        <v>2</v>
      </c>
      <c r="S204" s="4">
        <v>11</v>
      </c>
      <c r="T204" s="4">
        <v>94</v>
      </c>
      <c r="U204" s="4">
        <v>5</v>
      </c>
      <c r="V204" s="4">
        <v>50</v>
      </c>
      <c r="W204" s="4">
        <v>324</v>
      </c>
      <c r="X204" s="4">
        <v>25</v>
      </c>
      <c r="Y204" s="4">
        <v>430</v>
      </c>
      <c r="Z204" s="4">
        <v>283</v>
      </c>
      <c r="AA204" s="4">
        <v>3</v>
      </c>
      <c r="AB204" s="4">
        <v>39</v>
      </c>
      <c r="AC204" s="4">
        <v>607</v>
      </c>
      <c r="AD204" s="4">
        <v>7</v>
      </c>
      <c r="AE204" s="4">
        <v>157</v>
      </c>
    </row>
    <row r="205" spans="2:31" x14ac:dyDescent="0.5">
      <c r="C205" s="2" t="s">
        <v>54</v>
      </c>
      <c r="D205" s="3">
        <v>41</v>
      </c>
      <c r="E205" s="4">
        <v>94</v>
      </c>
      <c r="F205" s="4">
        <v>37</v>
      </c>
      <c r="G205" s="4">
        <v>795</v>
      </c>
      <c r="H205" s="4">
        <v>115</v>
      </c>
      <c r="I205" s="4">
        <v>7</v>
      </c>
      <c r="J205" s="4">
        <v>147</v>
      </c>
      <c r="K205" s="4">
        <v>115</v>
      </c>
      <c r="L205" s="4">
        <v>44</v>
      </c>
      <c r="M205" s="4">
        <v>916</v>
      </c>
      <c r="N205" s="4">
        <v>93</v>
      </c>
      <c r="O205" s="4">
        <v>6</v>
      </c>
      <c r="P205" s="4">
        <v>88</v>
      </c>
      <c r="Q205" s="4">
        <v>96</v>
      </c>
      <c r="R205" s="4">
        <v>2</v>
      </c>
      <c r="S205" s="4">
        <v>11</v>
      </c>
      <c r="T205" s="4">
        <v>94</v>
      </c>
      <c r="U205" s="4">
        <v>5</v>
      </c>
      <c r="V205" s="4">
        <v>50</v>
      </c>
      <c r="W205" s="4">
        <v>324</v>
      </c>
      <c r="X205" s="4">
        <v>25</v>
      </c>
      <c r="Y205" s="4">
        <v>430</v>
      </c>
      <c r="Z205" s="4">
        <v>283</v>
      </c>
      <c r="AA205" s="4">
        <v>3</v>
      </c>
      <c r="AB205" s="4">
        <v>39</v>
      </c>
      <c r="AC205" s="4">
        <v>607</v>
      </c>
      <c r="AD205" s="4">
        <v>7</v>
      </c>
      <c r="AE205" s="4">
        <v>157</v>
      </c>
    </row>
    <row r="207" spans="2:31" ht="14.1" customHeight="1" x14ac:dyDescent="0.5">
      <c r="B207" t="s">
        <v>85</v>
      </c>
      <c r="C207" s="18" t="s">
        <v>73</v>
      </c>
      <c r="D207" s="20" t="s">
        <v>0</v>
      </c>
      <c r="E207" s="12" t="s">
        <v>1</v>
      </c>
      <c r="F207" s="13"/>
      <c r="G207" s="14"/>
      <c r="H207" s="12" t="s">
        <v>2</v>
      </c>
      <c r="I207" s="13"/>
      <c r="J207" s="14"/>
      <c r="K207" s="12" t="s">
        <v>3</v>
      </c>
      <c r="L207" s="13"/>
      <c r="M207" s="14"/>
      <c r="N207" s="12" t="s">
        <v>4</v>
      </c>
      <c r="O207" s="13"/>
      <c r="P207" s="14"/>
      <c r="Q207" s="12" t="s">
        <v>5</v>
      </c>
      <c r="R207" s="13"/>
      <c r="S207" s="14"/>
      <c r="T207" s="12" t="s">
        <v>6</v>
      </c>
      <c r="U207" s="13"/>
      <c r="V207" s="14"/>
      <c r="W207" s="12" t="s">
        <v>7</v>
      </c>
      <c r="X207" s="13"/>
      <c r="Y207" s="14"/>
      <c r="Z207" s="12" t="s">
        <v>8</v>
      </c>
      <c r="AA207" s="13"/>
      <c r="AB207" s="14"/>
      <c r="AC207" s="15" t="s">
        <v>75</v>
      </c>
      <c r="AD207" s="16"/>
      <c r="AE207" s="17"/>
    </row>
    <row r="208" spans="2:31" x14ac:dyDescent="0.5">
      <c r="C208" s="19"/>
      <c r="D208" s="21"/>
      <c r="E208" s="8" t="s">
        <v>9</v>
      </c>
      <c r="F208" s="8" t="s">
        <v>10</v>
      </c>
      <c r="G208" s="8" t="s">
        <v>11</v>
      </c>
      <c r="H208" s="8" t="s">
        <v>9</v>
      </c>
      <c r="I208" s="8" t="s">
        <v>10</v>
      </c>
      <c r="J208" s="8" t="s">
        <v>11</v>
      </c>
      <c r="K208" s="8" t="s">
        <v>9</v>
      </c>
      <c r="L208" s="8" t="s">
        <v>10</v>
      </c>
      <c r="M208" s="8" t="s">
        <v>11</v>
      </c>
      <c r="N208" s="8" t="s">
        <v>9</v>
      </c>
      <c r="O208" s="8" t="s">
        <v>10</v>
      </c>
      <c r="P208" s="8" t="s">
        <v>11</v>
      </c>
      <c r="Q208" s="8" t="s">
        <v>9</v>
      </c>
      <c r="R208" s="8" t="s">
        <v>10</v>
      </c>
      <c r="S208" s="8" t="s">
        <v>11</v>
      </c>
      <c r="T208" s="8" t="s">
        <v>9</v>
      </c>
      <c r="U208" s="8" t="s">
        <v>10</v>
      </c>
      <c r="V208" s="8" t="s">
        <v>11</v>
      </c>
      <c r="W208" s="8" t="s">
        <v>9</v>
      </c>
      <c r="X208" s="8" t="s">
        <v>10</v>
      </c>
      <c r="Y208" s="8" t="s">
        <v>11</v>
      </c>
      <c r="Z208" s="8" t="s">
        <v>9</v>
      </c>
      <c r="AA208" s="8" t="s">
        <v>10</v>
      </c>
      <c r="AB208" s="8" t="s">
        <v>11</v>
      </c>
      <c r="AC208" s="8" t="s">
        <v>12</v>
      </c>
      <c r="AD208" s="8" t="s">
        <v>13</v>
      </c>
      <c r="AE208" s="9" t="s">
        <v>11</v>
      </c>
    </row>
    <row r="209" spans="2:31" x14ac:dyDescent="0.5">
      <c r="C209" s="2" t="s">
        <v>55</v>
      </c>
      <c r="D209" s="3">
        <v>42</v>
      </c>
      <c r="E209" s="4">
        <v>77</v>
      </c>
      <c r="F209" s="4">
        <v>54</v>
      </c>
      <c r="G209" s="4">
        <v>1325</v>
      </c>
      <c r="H209" s="4">
        <v>121</v>
      </c>
      <c r="I209" s="4">
        <v>6</v>
      </c>
      <c r="J209" s="4">
        <v>100</v>
      </c>
      <c r="K209" s="4">
        <v>121.5</v>
      </c>
      <c r="L209" s="4">
        <v>38</v>
      </c>
      <c r="M209" s="4">
        <v>691</v>
      </c>
      <c r="N209" s="4">
        <v>65</v>
      </c>
      <c r="O209" s="4">
        <v>27</v>
      </c>
      <c r="P209" s="4">
        <v>570</v>
      </c>
      <c r="Q209" s="4">
        <v>82</v>
      </c>
      <c r="R209" s="4">
        <v>20</v>
      </c>
      <c r="S209" s="4">
        <v>347</v>
      </c>
      <c r="T209" s="4">
        <v>91</v>
      </c>
      <c r="U209" s="4">
        <v>8</v>
      </c>
      <c r="V209" s="4">
        <v>128</v>
      </c>
      <c r="W209" s="4">
        <v>319.5</v>
      </c>
      <c r="X209" s="4">
        <v>27</v>
      </c>
      <c r="Y209" s="4">
        <v>482</v>
      </c>
      <c r="Z209" s="4">
        <v>238</v>
      </c>
      <c r="AA209" s="4">
        <v>20</v>
      </c>
      <c r="AB209" s="4">
        <v>363</v>
      </c>
      <c r="AC209" s="4">
        <v>557.5</v>
      </c>
      <c r="AD209" s="4">
        <v>20</v>
      </c>
      <c r="AE209" s="4">
        <v>390</v>
      </c>
    </row>
    <row r="210" spans="2:31" x14ac:dyDescent="0.5">
      <c r="C210" s="2" t="s">
        <v>55</v>
      </c>
      <c r="D210" s="3">
        <v>42</v>
      </c>
      <c r="E210" s="4">
        <v>77</v>
      </c>
      <c r="F210" s="4">
        <v>54</v>
      </c>
      <c r="G210" s="4">
        <v>1325</v>
      </c>
      <c r="H210" s="4">
        <v>121</v>
      </c>
      <c r="I210" s="4">
        <v>6</v>
      </c>
      <c r="J210" s="4">
        <v>100</v>
      </c>
      <c r="K210" s="4">
        <v>121.5</v>
      </c>
      <c r="L210" s="4">
        <v>38</v>
      </c>
      <c r="M210" s="4">
        <v>691</v>
      </c>
      <c r="N210" s="4">
        <v>65</v>
      </c>
      <c r="O210" s="4">
        <v>27</v>
      </c>
      <c r="P210" s="4">
        <v>570</v>
      </c>
      <c r="Q210" s="4">
        <v>82</v>
      </c>
      <c r="R210" s="4">
        <v>20</v>
      </c>
      <c r="S210" s="4">
        <v>347</v>
      </c>
      <c r="T210" s="4">
        <v>91</v>
      </c>
      <c r="U210" s="4">
        <v>8</v>
      </c>
      <c r="V210" s="4">
        <v>128</v>
      </c>
      <c r="W210" s="4">
        <v>319.5</v>
      </c>
      <c r="X210" s="4">
        <v>27</v>
      </c>
      <c r="Y210" s="4">
        <v>482</v>
      </c>
      <c r="Z210" s="4">
        <v>238</v>
      </c>
      <c r="AA210" s="4">
        <v>20</v>
      </c>
      <c r="AB210" s="4">
        <v>363</v>
      </c>
      <c r="AC210" s="4">
        <v>557.5</v>
      </c>
      <c r="AD210" s="4">
        <v>20</v>
      </c>
      <c r="AE210" s="4">
        <v>390</v>
      </c>
    </row>
    <row r="212" spans="2:31" ht="14.1" customHeight="1" x14ac:dyDescent="0.5">
      <c r="B212" t="s">
        <v>85</v>
      </c>
      <c r="C212" s="18" t="s">
        <v>73</v>
      </c>
      <c r="D212" s="20" t="s">
        <v>0</v>
      </c>
      <c r="E212" s="12" t="s">
        <v>1</v>
      </c>
      <c r="F212" s="13"/>
      <c r="G212" s="14"/>
      <c r="H212" s="12" t="s">
        <v>2</v>
      </c>
      <c r="I212" s="13"/>
      <c r="J212" s="14"/>
      <c r="K212" s="12" t="s">
        <v>3</v>
      </c>
      <c r="L212" s="13"/>
      <c r="M212" s="14"/>
      <c r="N212" s="12" t="s">
        <v>4</v>
      </c>
      <c r="O212" s="13"/>
      <c r="P212" s="14"/>
      <c r="Q212" s="12" t="s">
        <v>5</v>
      </c>
      <c r="R212" s="13"/>
      <c r="S212" s="14"/>
      <c r="T212" s="12" t="s">
        <v>6</v>
      </c>
      <c r="U212" s="13"/>
      <c r="V212" s="14"/>
      <c r="W212" s="12" t="s">
        <v>7</v>
      </c>
      <c r="X212" s="13"/>
      <c r="Y212" s="14"/>
      <c r="Z212" s="12" t="s">
        <v>8</v>
      </c>
      <c r="AA212" s="13"/>
      <c r="AB212" s="14"/>
      <c r="AC212" s="15" t="s">
        <v>75</v>
      </c>
      <c r="AD212" s="16"/>
      <c r="AE212" s="17"/>
    </row>
    <row r="213" spans="2:31" x14ac:dyDescent="0.5">
      <c r="C213" s="19"/>
      <c r="D213" s="21"/>
      <c r="E213" s="8" t="s">
        <v>9</v>
      </c>
      <c r="F213" s="8" t="s">
        <v>10</v>
      </c>
      <c r="G213" s="8" t="s">
        <v>11</v>
      </c>
      <c r="H213" s="8" t="s">
        <v>9</v>
      </c>
      <c r="I213" s="8" t="s">
        <v>10</v>
      </c>
      <c r="J213" s="8" t="s">
        <v>11</v>
      </c>
      <c r="K213" s="8" t="s">
        <v>9</v>
      </c>
      <c r="L213" s="8" t="s">
        <v>10</v>
      </c>
      <c r="M213" s="8" t="s">
        <v>11</v>
      </c>
      <c r="N213" s="8" t="s">
        <v>9</v>
      </c>
      <c r="O213" s="8" t="s">
        <v>10</v>
      </c>
      <c r="P213" s="8" t="s">
        <v>11</v>
      </c>
      <c r="Q213" s="8" t="s">
        <v>9</v>
      </c>
      <c r="R213" s="8" t="s">
        <v>10</v>
      </c>
      <c r="S213" s="8" t="s">
        <v>11</v>
      </c>
      <c r="T213" s="8" t="s">
        <v>9</v>
      </c>
      <c r="U213" s="8" t="s">
        <v>10</v>
      </c>
      <c r="V213" s="8" t="s">
        <v>11</v>
      </c>
      <c r="W213" s="8" t="s">
        <v>9</v>
      </c>
      <c r="X213" s="8" t="s">
        <v>10</v>
      </c>
      <c r="Y213" s="8" t="s">
        <v>11</v>
      </c>
      <c r="Z213" s="8" t="s">
        <v>9</v>
      </c>
      <c r="AA213" s="8" t="s">
        <v>10</v>
      </c>
      <c r="AB213" s="8" t="s">
        <v>11</v>
      </c>
      <c r="AC213" s="8" t="s">
        <v>12</v>
      </c>
      <c r="AD213" s="8" t="s">
        <v>13</v>
      </c>
      <c r="AE213" s="9" t="s">
        <v>11</v>
      </c>
    </row>
    <row r="214" spans="2:31" x14ac:dyDescent="0.5">
      <c r="C214" s="2" t="s">
        <v>56</v>
      </c>
      <c r="D214" s="3">
        <v>43</v>
      </c>
      <c r="E214" s="4">
        <v>104</v>
      </c>
      <c r="F214" s="4">
        <v>20</v>
      </c>
      <c r="G214" s="4">
        <v>339</v>
      </c>
      <c r="H214" s="4">
        <v>94</v>
      </c>
      <c r="I214" s="4">
        <v>25</v>
      </c>
      <c r="J214" s="4">
        <v>510</v>
      </c>
      <c r="K214" s="4">
        <v>130</v>
      </c>
      <c r="L214" s="4">
        <v>15</v>
      </c>
      <c r="M214" s="4">
        <v>378</v>
      </c>
      <c r="N214" s="4">
        <v>32</v>
      </c>
      <c r="O214" s="4">
        <v>57</v>
      </c>
      <c r="P214" s="4">
        <v>1272</v>
      </c>
      <c r="Q214" s="4">
        <v>76</v>
      </c>
      <c r="R214" s="4">
        <v>32</v>
      </c>
      <c r="S214" s="4">
        <v>534</v>
      </c>
      <c r="T214" s="4">
        <v>87</v>
      </c>
      <c r="U214" s="4">
        <v>16</v>
      </c>
      <c r="V214" s="4">
        <v>268</v>
      </c>
      <c r="W214" s="4">
        <v>328</v>
      </c>
      <c r="X214" s="4">
        <v>23</v>
      </c>
      <c r="Y214" s="4">
        <v>371</v>
      </c>
      <c r="Z214" s="4">
        <v>195</v>
      </c>
      <c r="AA214" s="4">
        <v>43</v>
      </c>
      <c r="AB214" s="4">
        <v>796</v>
      </c>
      <c r="AC214" s="4">
        <v>523</v>
      </c>
      <c r="AD214" s="4">
        <v>34</v>
      </c>
      <c r="AE214" s="4">
        <v>600</v>
      </c>
    </row>
    <row r="215" spans="2:31" x14ac:dyDescent="0.5">
      <c r="C215" s="2" t="s">
        <v>56</v>
      </c>
      <c r="D215" s="3">
        <v>43</v>
      </c>
      <c r="E215" s="4">
        <v>104</v>
      </c>
      <c r="F215" s="4">
        <v>20</v>
      </c>
      <c r="G215" s="4">
        <v>339</v>
      </c>
      <c r="H215" s="4">
        <v>94</v>
      </c>
      <c r="I215" s="4">
        <v>25</v>
      </c>
      <c r="J215" s="4">
        <v>510</v>
      </c>
      <c r="K215" s="4">
        <v>130</v>
      </c>
      <c r="L215" s="4">
        <v>15</v>
      </c>
      <c r="M215" s="4">
        <v>378</v>
      </c>
      <c r="N215" s="4">
        <v>32</v>
      </c>
      <c r="O215" s="4">
        <v>57</v>
      </c>
      <c r="P215" s="4">
        <v>1272</v>
      </c>
      <c r="Q215" s="4">
        <v>76</v>
      </c>
      <c r="R215" s="4">
        <v>32</v>
      </c>
      <c r="S215" s="4">
        <v>534</v>
      </c>
      <c r="T215" s="4">
        <v>87</v>
      </c>
      <c r="U215" s="4">
        <v>16</v>
      </c>
      <c r="V215" s="4">
        <v>268</v>
      </c>
      <c r="W215" s="4">
        <v>328</v>
      </c>
      <c r="X215" s="4">
        <v>23</v>
      </c>
      <c r="Y215" s="4">
        <v>371</v>
      </c>
      <c r="Z215" s="4">
        <v>195</v>
      </c>
      <c r="AA215" s="4">
        <v>43</v>
      </c>
      <c r="AB215" s="4">
        <v>796</v>
      </c>
      <c r="AC215" s="4">
        <v>523</v>
      </c>
      <c r="AD215" s="4">
        <v>34</v>
      </c>
      <c r="AE215" s="4">
        <v>600</v>
      </c>
    </row>
    <row r="217" spans="2:31" ht="14.1" customHeight="1" x14ac:dyDescent="0.5">
      <c r="B217" t="s">
        <v>85</v>
      </c>
      <c r="C217" s="18" t="s">
        <v>73</v>
      </c>
      <c r="D217" s="20" t="s">
        <v>0</v>
      </c>
      <c r="E217" s="12" t="s">
        <v>1</v>
      </c>
      <c r="F217" s="13"/>
      <c r="G217" s="14"/>
      <c r="H217" s="12" t="s">
        <v>2</v>
      </c>
      <c r="I217" s="13"/>
      <c r="J217" s="14"/>
      <c r="K217" s="12" t="s">
        <v>3</v>
      </c>
      <c r="L217" s="13"/>
      <c r="M217" s="14"/>
      <c r="N217" s="12" t="s">
        <v>4</v>
      </c>
      <c r="O217" s="13"/>
      <c r="P217" s="14"/>
      <c r="Q217" s="12" t="s">
        <v>5</v>
      </c>
      <c r="R217" s="13"/>
      <c r="S217" s="14"/>
      <c r="T217" s="12" t="s">
        <v>6</v>
      </c>
      <c r="U217" s="13"/>
      <c r="V217" s="14"/>
      <c r="W217" s="12" t="s">
        <v>7</v>
      </c>
      <c r="X217" s="13"/>
      <c r="Y217" s="14"/>
      <c r="Z217" s="12" t="s">
        <v>8</v>
      </c>
      <c r="AA217" s="13"/>
      <c r="AB217" s="14"/>
      <c r="AC217" s="15" t="s">
        <v>75</v>
      </c>
      <c r="AD217" s="16"/>
      <c r="AE217" s="17"/>
    </row>
    <row r="218" spans="2:31" x14ac:dyDescent="0.5">
      <c r="C218" s="19"/>
      <c r="D218" s="21"/>
      <c r="E218" s="8" t="s">
        <v>9</v>
      </c>
      <c r="F218" s="8" t="s">
        <v>10</v>
      </c>
      <c r="G218" s="8" t="s">
        <v>11</v>
      </c>
      <c r="H218" s="8" t="s">
        <v>9</v>
      </c>
      <c r="I218" s="8" t="s">
        <v>10</v>
      </c>
      <c r="J218" s="8" t="s">
        <v>11</v>
      </c>
      <c r="K218" s="8" t="s">
        <v>9</v>
      </c>
      <c r="L218" s="8" t="s">
        <v>10</v>
      </c>
      <c r="M218" s="8" t="s">
        <v>11</v>
      </c>
      <c r="N218" s="8" t="s">
        <v>9</v>
      </c>
      <c r="O218" s="8" t="s">
        <v>10</v>
      </c>
      <c r="P218" s="8" t="s">
        <v>11</v>
      </c>
      <c r="Q218" s="8" t="s">
        <v>9</v>
      </c>
      <c r="R218" s="8" t="s">
        <v>10</v>
      </c>
      <c r="S218" s="8" t="s">
        <v>11</v>
      </c>
      <c r="T218" s="8" t="s">
        <v>9</v>
      </c>
      <c r="U218" s="8" t="s">
        <v>10</v>
      </c>
      <c r="V218" s="8" t="s">
        <v>11</v>
      </c>
      <c r="W218" s="8" t="s">
        <v>9</v>
      </c>
      <c r="X218" s="8" t="s">
        <v>10</v>
      </c>
      <c r="Y218" s="8" t="s">
        <v>11</v>
      </c>
      <c r="Z218" s="8" t="s">
        <v>9</v>
      </c>
      <c r="AA218" s="8" t="s">
        <v>10</v>
      </c>
      <c r="AB218" s="8" t="s">
        <v>11</v>
      </c>
      <c r="AC218" s="8" t="s">
        <v>12</v>
      </c>
      <c r="AD218" s="8" t="s">
        <v>13</v>
      </c>
      <c r="AE218" s="9" t="s">
        <v>11</v>
      </c>
    </row>
    <row r="219" spans="2:31" x14ac:dyDescent="0.5">
      <c r="C219" s="2" t="s">
        <v>57</v>
      </c>
      <c r="D219" s="3">
        <v>44</v>
      </c>
      <c r="E219" s="4">
        <v>114</v>
      </c>
      <c r="F219" s="4">
        <v>2</v>
      </c>
      <c r="G219" s="4">
        <v>61</v>
      </c>
      <c r="H219" s="4">
        <v>133</v>
      </c>
      <c r="I219" s="4">
        <v>1</v>
      </c>
      <c r="J219" s="4">
        <v>28</v>
      </c>
      <c r="K219" s="4">
        <v>141</v>
      </c>
      <c r="L219" s="4">
        <v>1</v>
      </c>
      <c r="M219" s="4">
        <v>49</v>
      </c>
      <c r="N219" s="4">
        <v>101</v>
      </c>
      <c r="O219" s="4">
        <v>3</v>
      </c>
      <c r="P219" s="4">
        <v>34</v>
      </c>
      <c r="Q219" s="4">
        <v>90</v>
      </c>
      <c r="R219" s="4">
        <v>6</v>
      </c>
      <c r="S219" s="4">
        <v>98</v>
      </c>
      <c r="T219" s="4">
        <v>90</v>
      </c>
      <c r="U219" s="4">
        <v>11</v>
      </c>
      <c r="V219" s="4">
        <v>161</v>
      </c>
      <c r="W219" s="4">
        <v>388</v>
      </c>
      <c r="X219" s="4">
        <v>1</v>
      </c>
      <c r="Y219" s="4">
        <v>14</v>
      </c>
      <c r="Z219" s="4">
        <v>281</v>
      </c>
      <c r="AA219" s="4">
        <v>4</v>
      </c>
      <c r="AB219" s="4">
        <v>45</v>
      </c>
      <c r="AC219" s="4">
        <v>669</v>
      </c>
      <c r="AD219" s="4">
        <v>1</v>
      </c>
      <c r="AE219" s="4">
        <v>16</v>
      </c>
    </row>
    <row r="220" spans="2:31" x14ac:dyDescent="0.5">
      <c r="C220" s="2" t="s">
        <v>57</v>
      </c>
      <c r="D220" s="3">
        <v>44</v>
      </c>
      <c r="E220" s="4">
        <v>114</v>
      </c>
      <c r="F220" s="4">
        <v>2</v>
      </c>
      <c r="G220" s="4">
        <v>61</v>
      </c>
      <c r="H220" s="4">
        <v>133</v>
      </c>
      <c r="I220" s="4">
        <v>1</v>
      </c>
      <c r="J220" s="4">
        <v>28</v>
      </c>
      <c r="K220" s="4">
        <v>141</v>
      </c>
      <c r="L220" s="4">
        <v>1</v>
      </c>
      <c r="M220" s="4">
        <v>49</v>
      </c>
      <c r="N220" s="4">
        <v>101</v>
      </c>
      <c r="O220" s="4">
        <v>3</v>
      </c>
      <c r="P220" s="4">
        <v>34</v>
      </c>
      <c r="Q220" s="4">
        <v>90</v>
      </c>
      <c r="R220" s="4">
        <v>6</v>
      </c>
      <c r="S220" s="4">
        <v>98</v>
      </c>
      <c r="T220" s="4">
        <v>90</v>
      </c>
      <c r="U220" s="4">
        <v>11</v>
      </c>
      <c r="V220" s="4">
        <v>161</v>
      </c>
      <c r="W220" s="4">
        <v>388</v>
      </c>
      <c r="X220" s="4">
        <v>1</v>
      </c>
      <c r="Y220" s="4">
        <v>14</v>
      </c>
      <c r="Z220" s="4">
        <v>281</v>
      </c>
      <c r="AA220" s="4">
        <v>4</v>
      </c>
      <c r="AB220" s="4">
        <v>45</v>
      </c>
      <c r="AC220" s="4">
        <v>669</v>
      </c>
      <c r="AD220" s="4">
        <v>1</v>
      </c>
      <c r="AE220" s="4">
        <v>16</v>
      </c>
    </row>
    <row r="222" spans="2:31" ht="14.1" customHeight="1" x14ac:dyDescent="0.5">
      <c r="B222" t="s">
        <v>85</v>
      </c>
      <c r="C222" s="18" t="s">
        <v>73</v>
      </c>
      <c r="D222" s="20" t="s">
        <v>0</v>
      </c>
      <c r="E222" s="12" t="s">
        <v>1</v>
      </c>
      <c r="F222" s="13"/>
      <c r="G222" s="14"/>
      <c r="H222" s="12" t="s">
        <v>2</v>
      </c>
      <c r="I222" s="13"/>
      <c r="J222" s="14"/>
      <c r="K222" s="12" t="s">
        <v>3</v>
      </c>
      <c r="L222" s="13"/>
      <c r="M222" s="14"/>
      <c r="N222" s="12" t="s">
        <v>4</v>
      </c>
      <c r="O222" s="13"/>
      <c r="P222" s="14"/>
      <c r="Q222" s="12" t="s">
        <v>5</v>
      </c>
      <c r="R222" s="13"/>
      <c r="S222" s="14"/>
      <c r="T222" s="12" t="s">
        <v>6</v>
      </c>
      <c r="U222" s="13"/>
      <c r="V222" s="14"/>
      <c r="W222" s="12" t="s">
        <v>7</v>
      </c>
      <c r="X222" s="13"/>
      <c r="Y222" s="14"/>
      <c r="Z222" s="12" t="s">
        <v>8</v>
      </c>
      <c r="AA222" s="13"/>
      <c r="AB222" s="14"/>
      <c r="AC222" s="15" t="s">
        <v>75</v>
      </c>
      <c r="AD222" s="16"/>
      <c r="AE222" s="17"/>
    </row>
    <row r="223" spans="2:31" x14ac:dyDescent="0.5">
      <c r="C223" s="19"/>
      <c r="D223" s="21"/>
      <c r="E223" s="8" t="s">
        <v>9</v>
      </c>
      <c r="F223" s="8" t="s">
        <v>10</v>
      </c>
      <c r="G223" s="8" t="s">
        <v>11</v>
      </c>
      <c r="H223" s="8" t="s">
        <v>9</v>
      </c>
      <c r="I223" s="8" t="s">
        <v>10</v>
      </c>
      <c r="J223" s="8" t="s">
        <v>11</v>
      </c>
      <c r="K223" s="8" t="s">
        <v>9</v>
      </c>
      <c r="L223" s="8" t="s">
        <v>10</v>
      </c>
      <c r="M223" s="8" t="s">
        <v>11</v>
      </c>
      <c r="N223" s="8" t="s">
        <v>9</v>
      </c>
      <c r="O223" s="8" t="s">
        <v>10</v>
      </c>
      <c r="P223" s="8" t="s">
        <v>11</v>
      </c>
      <c r="Q223" s="8" t="s">
        <v>9</v>
      </c>
      <c r="R223" s="8" t="s">
        <v>10</v>
      </c>
      <c r="S223" s="8" t="s">
        <v>11</v>
      </c>
      <c r="T223" s="8" t="s">
        <v>9</v>
      </c>
      <c r="U223" s="8" t="s">
        <v>10</v>
      </c>
      <c r="V223" s="8" t="s">
        <v>11</v>
      </c>
      <c r="W223" s="8" t="s">
        <v>9</v>
      </c>
      <c r="X223" s="8" t="s">
        <v>10</v>
      </c>
      <c r="Y223" s="8" t="s">
        <v>11</v>
      </c>
      <c r="Z223" s="8" t="s">
        <v>9</v>
      </c>
      <c r="AA223" s="8" t="s">
        <v>10</v>
      </c>
      <c r="AB223" s="8" t="s">
        <v>11</v>
      </c>
      <c r="AC223" s="8" t="s">
        <v>12</v>
      </c>
      <c r="AD223" s="8" t="s">
        <v>13</v>
      </c>
      <c r="AE223" s="9" t="s">
        <v>11</v>
      </c>
    </row>
    <row r="224" spans="2:31" x14ac:dyDescent="0.5">
      <c r="C224" s="2" t="s">
        <v>58</v>
      </c>
      <c r="D224" s="3">
        <v>45</v>
      </c>
      <c r="E224" s="4">
        <v>93</v>
      </c>
      <c r="F224" s="4">
        <v>39</v>
      </c>
      <c r="G224" s="4">
        <v>824</v>
      </c>
      <c r="H224" s="4">
        <v>112</v>
      </c>
      <c r="I224" s="4">
        <v>8</v>
      </c>
      <c r="J224" s="4">
        <v>181</v>
      </c>
      <c r="K224" s="4">
        <v>138</v>
      </c>
      <c r="L224" s="4">
        <v>6</v>
      </c>
      <c r="M224" s="4">
        <v>114</v>
      </c>
      <c r="N224" s="4">
        <v>72</v>
      </c>
      <c r="O224" s="4">
        <v>23</v>
      </c>
      <c r="P224" s="4">
        <v>427</v>
      </c>
      <c r="Q224" s="4">
        <v>82</v>
      </c>
      <c r="R224" s="4">
        <v>20</v>
      </c>
      <c r="S224" s="4">
        <v>347</v>
      </c>
      <c r="T224" s="4">
        <v>82</v>
      </c>
      <c r="U224" s="4">
        <v>30</v>
      </c>
      <c r="V224" s="4">
        <v>444</v>
      </c>
      <c r="W224" s="4">
        <v>343</v>
      </c>
      <c r="X224" s="4">
        <v>6</v>
      </c>
      <c r="Y224" s="4">
        <v>202</v>
      </c>
      <c r="Z224" s="4">
        <v>236</v>
      </c>
      <c r="AA224" s="4">
        <v>21</v>
      </c>
      <c r="AB224" s="4">
        <v>389</v>
      </c>
      <c r="AC224" s="4">
        <v>579</v>
      </c>
      <c r="AD224" s="4">
        <v>17</v>
      </c>
      <c r="AE224" s="4">
        <v>285</v>
      </c>
    </row>
    <row r="225" spans="2:31" x14ac:dyDescent="0.5">
      <c r="C225" s="2" t="s">
        <v>58</v>
      </c>
      <c r="D225" s="3">
        <v>45</v>
      </c>
      <c r="E225" s="4">
        <v>93</v>
      </c>
      <c r="F225" s="4">
        <v>39</v>
      </c>
      <c r="G225" s="4">
        <v>824</v>
      </c>
      <c r="H225" s="4">
        <v>112</v>
      </c>
      <c r="I225" s="4">
        <v>8</v>
      </c>
      <c r="J225" s="4">
        <v>181</v>
      </c>
      <c r="K225" s="4">
        <v>138</v>
      </c>
      <c r="L225" s="4">
        <v>6</v>
      </c>
      <c r="M225" s="4">
        <v>114</v>
      </c>
      <c r="N225" s="4">
        <v>72</v>
      </c>
      <c r="O225" s="4">
        <v>23</v>
      </c>
      <c r="P225" s="4">
        <v>427</v>
      </c>
      <c r="Q225" s="4">
        <v>82</v>
      </c>
      <c r="R225" s="4">
        <v>20</v>
      </c>
      <c r="S225" s="4">
        <v>347</v>
      </c>
      <c r="T225" s="4">
        <v>82</v>
      </c>
      <c r="U225" s="4">
        <v>30</v>
      </c>
      <c r="V225" s="4">
        <v>444</v>
      </c>
      <c r="W225" s="4">
        <v>343</v>
      </c>
      <c r="X225" s="4">
        <v>6</v>
      </c>
      <c r="Y225" s="4">
        <v>202</v>
      </c>
      <c r="Z225" s="4">
        <v>236</v>
      </c>
      <c r="AA225" s="4">
        <v>21</v>
      </c>
      <c r="AB225" s="4">
        <v>389</v>
      </c>
      <c r="AC225" s="4">
        <v>579</v>
      </c>
      <c r="AD225" s="4">
        <v>17</v>
      </c>
      <c r="AE225" s="4">
        <v>285</v>
      </c>
    </row>
    <row r="227" spans="2:31" ht="14.1" customHeight="1" x14ac:dyDescent="0.5">
      <c r="B227" t="s">
        <v>85</v>
      </c>
      <c r="C227" s="18" t="s">
        <v>73</v>
      </c>
      <c r="D227" s="20" t="s">
        <v>0</v>
      </c>
      <c r="E227" s="12" t="s">
        <v>1</v>
      </c>
      <c r="F227" s="13"/>
      <c r="G227" s="14"/>
      <c r="H227" s="12" t="s">
        <v>2</v>
      </c>
      <c r="I227" s="13"/>
      <c r="J227" s="14"/>
      <c r="K227" s="12" t="s">
        <v>3</v>
      </c>
      <c r="L227" s="13"/>
      <c r="M227" s="14"/>
      <c r="N227" s="12" t="s">
        <v>4</v>
      </c>
      <c r="O227" s="13"/>
      <c r="P227" s="14"/>
      <c r="Q227" s="12" t="s">
        <v>5</v>
      </c>
      <c r="R227" s="13"/>
      <c r="S227" s="14"/>
      <c r="T227" s="12" t="s">
        <v>6</v>
      </c>
      <c r="U227" s="13"/>
      <c r="V227" s="14"/>
      <c r="W227" s="12" t="s">
        <v>7</v>
      </c>
      <c r="X227" s="13"/>
      <c r="Y227" s="14"/>
      <c r="Z227" s="12" t="s">
        <v>8</v>
      </c>
      <c r="AA227" s="13"/>
      <c r="AB227" s="14"/>
      <c r="AC227" s="15" t="s">
        <v>75</v>
      </c>
      <c r="AD227" s="16"/>
      <c r="AE227" s="17"/>
    </row>
    <row r="228" spans="2:31" x14ac:dyDescent="0.5">
      <c r="C228" s="19"/>
      <c r="D228" s="21"/>
      <c r="E228" s="8" t="s">
        <v>9</v>
      </c>
      <c r="F228" s="8" t="s">
        <v>10</v>
      </c>
      <c r="G228" s="8" t="s">
        <v>11</v>
      </c>
      <c r="H228" s="8" t="s">
        <v>9</v>
      </c>
      <c r="I228" s="8" t="s">
        <v>10</v>
      </c>
      <c r="J228" s="8" t="s">
        <v>11</v>
      </c>
      <c r="K228" s="8" t="s">
        <v>9</v>
      </c>
      <c r="L228" s="8" t="s">
        <v>10</v>
      </c>
      <c r="M228" s="8" t="s">
        <v>11</v>
      </c>
      <c r="N228" s="8" t="s">
        <v>9</v>
      </c>
      <c r="O228" s="8" t="s">
        <v>10</v>
      </c>
      <c r="P228" s="8" t="s">
        <v>11</v>
      </c>
      <c r="Q228" s="8" t="s">
        <v>9</v>
      </c>
      <c r="R228" s="8" t="s">
        <v>10</v>
      </c>
      <c r="S228" s="8" t="s">
        <v>11</v>
      </c>
      <c r="T228" s="8" t="s">
        <v>9</v>
      </c>
      <c r="U228" s="8" t="s">
        <v>10</v>
      </c>
      <c r="V228" s="8" t="s">
        <v>11</v>
      </c>
      <c r="W228" s="8" t="s">
        <v>9</v>
      </c>
      <c r="X228" s="8" t="s">
        <v>10</v>
      </c>
      <c r="Y228" s="8" t="s">
        <v>11</v>
      </c>
      <c r="Z228" s="8" t="s">
        <v>9</v>
      </c>
      <c r="AA228" s="8" t="s">
        <v>10</v>
      </c>
      <c r="AB228" s="8" t="s">
        <v>11</v>
      </c>
      <c r="AC228" s="8" t="s">
        <v>12</v>
      </c>
      <c r="AD228" s="8" t="s">
        <v>13</v>
      </c>
      <c r="AE228" s="9" t="s">
        <v>11</v>
      </c>
    </row>
    <row r="229" spans="2:31" x14ac:dyDescent="0.5">
      <c r="C229" s="2" t="s">
        <v>59</v>
      </c>
      <c r="D229" s="3">
        <v>46</v>
      </c>
      <c r="E229" s="4">
        <v>91</v>
      </c>
      <c r="F229" s="4">
        <v>43</v>
      </c>
      <c r="G229" s="4">
        <v>914</v>
      </c>
      <c r="H229" s="4">
        <v>80</v>
      </c>
      <c r="I229" s="4">
        <v>40</v>
      </c>
      <c r="J229" s="4">
        <v>800</v>
      </c>
      <c r="K229" s="4">
        <v>107.5</v>
      </c>
      <c r="L229" s="4">
        <v>53</v>
      </c>
      <c r="M229" s="4">
        <v>1126</v>
      </c>
      <c r="N229" s="4">
        <v>51</v>
      </c>
      <c r="O229" s="4">
        <v>40</v>
      </c>
      <c r="P229" s="4">
        <v>883</v>
      </c>
      <c r="Q229" s="4">
        <v>64</v>
      </c>
      <c r="R229" s="4">
        <v>48</v>
      </c>
      <c r="S229" s="4">
        <v>928</v>
      </c>
      <c r="T229" s="4">
        <v>61</v>
      </c>
      <c r="U229" s="4">
        <v>55</v>
      </c>
      <c r="V229" s="4">
        <v>1059</v>
      </c>
      <c r="W229" s="4">
        <v>278.5</v>
      </c>
      <c r="X229" s="4">
        <v>49</v>
      </c>
      <c r="Y229" s="4">
        <v>981</v>
      </c>
      <c r="Z229" s="4">
        <v>176</v>
      </c>
      <c r="AA229" s="4">
        <v>51</v>
      </c>
      <c r="AB229" s="4">
        <v>975</v>
      </c>
      <c r="AC229" s="4">
        <v>454.5</v>
      </c>
      <c r="AD229" s="4">
        <v>49</v>
      </c>
      <c r="AE229" s="4">
        <v>992</v>
      </c>
    </row>
    <row r="230" spans="2:31" x14ac:dyDescent="0.5">
      <c r="C230" s="2" t="s">
        <v>59</v>
      </c>
      <c r="D230" s="3">
        <v>46</v>
      </c>
      <c r="E230" s="4">
        <v>91</v>
      </c>
      <c r="F230" s="4">
        <v>43</v>
      </c>
      <c r="G230" s="4">
        <v>914</v>
      </c>
      <c r="H230" s="4">
        <v>80</v>
      </c>
      <c r="I230" s="4">
        <v>40</v>
      </c>
      <c r="J230" s="4">
        <v>800</v>
      </c>
      <c r="K230" s="4">
        <v>107.5</v>
      </c>
      <c r="L230" s="4">
        <v>53</v>
      </c>
      <c r="M230" s="4">
        <v>1126</v>
      </c>
      <c r="N230" s="4">
        <v>51</v>
      </c>
      <c r="O230" s="4">
        <v>40</v>
      </c>
      <c r="P230" s="4">
        <v>883</v>
      </c>
      <c r="Q230" s="4">
        <v>64</v>
      </c>
      <c r="R230" s="4">
        <v>48</v>
      </c>
      <c r="S230" s="4">
        <v>928</v>
      </c>
      <c r="T230" s="4">
        <v>61</v>
      </c>
      <c r="U230" s="4">
        <v>55</v>
      </c>
      <c r="V230" s="4">
        <v>1059</v>
      </c>
      <c r="W230" s="4">
        <v>278.5</v>
      </c>
      <c r="X230" s="4">
        <v>49</v>
      </c>
      <c r="Y230" s="4">
        <v>981</v>
      </c>
      <c r="Z230" s="4">
        <v>176</v>
      </c>
      <c r="AA230" s="4">
        <v>51</v>
      </c>
      <c r="AB230" s="4">
        <v>975</v>
      </c>
      <c r="AC230" s="4">
        <v>454.5</v>
      </c>
      <c r="AD230" s="4">
        <v>49</v>
      </c>
      <c r="AE230" s="4">
        <v>992</v>
      </c>
    </row>
    <row r="232" spans="2:31" ht="14.1" customHeight="1" x14ac:dyDescent="0.5">
      <c r="B232" t="s">
        <v>85</v>
      </c>
      <c r="C232" s="18" t="s">
        <v>73</v>
      </c>
      <c r="D232" s="20" t="s">
        <v>0</v>
      </c>
      <c r="E232" s="12" t="s">
        <v>1</v>
      </c>
      <c r="F232" s="13"/>
      <c r="G232" s="14"/>
      <c r="H232" s="12" t="s">
        <v>2</v>
      </c>
      <c r="I232" s="13"/>
      <c r="J232" s="14"/>
      <c r="K232" s="12" t="s">
        <v>3</v>
      </c>
      <c r="L232" s="13"/>
      <c r="M232" s="14"/>
      <c r="N232" s="12" t="s">
        <v>4</v>
      </c>
      <c r="O232" s="13"/>
      <c r="P232" s="14"/>
      <c r="Q232" s="12" t="s">
        <v>5</v>
      </c>
      <c r="R232" s="13"/>
      <c r="S232" s="14"/>
      <c r="T232" s="12" t="s">
        <v>6</v>
      </c>
      <c r="U232" s="13"/>
      <c r="V232" s="14"/>
      <c r="W232" s="12" t="s">
        <v>7</v>
      </c>
      <c r="X232" s="13"/>
      <c r="Y232" s="14"/>
      <c r="Z232" s="12" t="s">
        <v>8</v>
      </c>
      <c r="AA232" s="13"/>
      <c r="AB232" s="14"/>
      <c r="AC232" s="15" t="s">
        <v>75</v>
      </c>
      <c r="AD232" s="16"/>
      <c r="AE232" s="17"/>
    </row>
    <row r="233" spans="2:31" x14ac:dyDescent="0.5">
      <c r="C233" s="19"/>
      <c r="D233" s="21"/>
      <c r="E233" s="8" t="s">
        <v>9</v>
      </c>
      <c r="F233" s="8" t="s">
        <v>10</v>
      </c>
      <c r="G233" s="8" t="s">
        <v>11</v>
      </c>
      <c r="H233" s="8" t="s">
        <v>9</v>
      </c>
      <c r="I233" s="8" t="s">
        <v>10</v>
      </c>
      <c r="J233" s="8" t="s">
        <v>11</v>
      </c>
      <c r="K233" s="8" t="s">
        <v>9</v>
      </c>
      <c r="L233" s="8" t="s">
        <v>10</v>
      </c>
      <c r="M233" s="8" t="s">
        <v>11</v>
      </c>
      <c r="N233" s="8" t="s">
        <v>9</v>
      </c>
      <c r="O233" s="8" t="s">
        <v>10</v>
      </c>
      <c r="P233" s="8" t="s">
        <v>11</v>
      </c>
      <c r="Q233" s="8" t="s">
        <v>9</v>
      </c>
      <c r="R233" s="8" t="s">
        <v>10</v>
      </c>
      <c r="S233" s="8" t="s">
        <v>11</v>
      </c>
      <c r="T233" s="8" t="s">
        <v>9</v>
      </c>
      <c r="U233" s="8" t="s">
        <v>10</v>
      </c>
      <c r="V233" s="8" t="s">
        <v>11</v>
      </c>
      <c r="W233" s="8" t="s">
        <v>9</v>
      </c>
      <c r="X233" s="8" t="s">
        <v>10</v>
      </c>
      <c r="Y233" s="8" t="s">
        <v>11</v>
      </c>
      <c r="Z233" s="8" t="s">
        <v>9</v>
      </c>
      <c r="AA233" s="8" t="s">
        <v>10</v>
      </c>
      <c r="AB233" s="8" t="s">
        <v>11</v>
      </c>
      <c r="AC233" s="8" t="s">
        <v>12</v>
      </c>
      <c r="AD233" s="8" t="s">
        <v>13</v>
      </c>
      <c r="AE233" s="9" t="s">
        <v>11</v>
      </c>
    </row>
    <row r="234" spans="2:31" x14ac:dyDescent="0.5">
      <c r="C234" s="2" t="s">
        <v>60</v>
      </c>
      <c r="D234" s="3">
        <v>47</v>
      </c>
      <c r="E234" s="4">
        <v>96</v>
      </c>
      <c r="F234" s="4">
        <v>33</v>
      </c>
      <c r="G234" s="4">
        <v>696</v>
      </c>
      <c r="H234" s="4">
        <v>83</v>
      </c>
      <c r="I234" s="4">
        <v>37</v>
      </c>
      <c r="J234" s="4">
        <v>740</v>
      </c>
      <c r="K234" s="4">
        <v>128.5</v>
      </c>
      <c r="L234" s="4">
        <v>21</v>
      </c>
      <c r="M234" s="4">
        <v>441</v>
      </c>
      <c r="N234" s="4">
        <v>53</v>
      </c>
      <c r="O234" s="4">
        <v>37</v>
      </c>
      <c r="P234" s="4">
        <v>843</v>
      </c>
      <c r="Q234" s="4">
        <v>59</v>
      </c>
      <c r="R234" s="4">
        <v>53</v>
      </c>
      <c r="S234" s="4">
        <v>1061</v>
      </c>
      <c r="T234" s="4">
        <v>65</v>
      </c>
      <c r="U234" s="4">
        <v>53</v>
      </c>
      <c r="V234" s="4">
        <v>962</v>
      </c>
      <c r="W234" s="4">
        <v>307.5</v>
      </c>
      <c r="X234" s="4">
        <v>34</v>
      </c>
      <c r="Y234" s="4">
        <v>621</v>
      </c>
      <c r="Z234" s="4">
        <v>177</v>
      </c>
      <c r="AA234" s="4">
        <v>49</v>
      </c>
      <c r="AB234" s="4">
        <v>968</v>
      </c>
      <c r="AC234" s="4">
        <v>484.5</v>
      </c>
      <c r="AD234" s="4">
        <v>43</v>
      </c>
      <c r="AE234" s="4">
        <v>826</v>
      </c>
    </row>
    <row r="235" spans="2:31" x14ac:dyDescent="0.5">
      <c r="C235" s="2" t="s">
        <v>60</v>
      </c>
      <c r="D235" s="3">
        <v>47</v>
      </c>
      <c r="E235" s="4">
        <v>96</v>
      </c>
      <c r="F235" s="4">
        <v>33</v>
      </c>
      <c r="G235" s="4">
        <v>696</v>
      </c>
      <c r="H235" s="4">
        <v>83</v>
      </c>
      <c r="I235" s="4">
        <v>37</v>
      </c>
      <c r="J235" s="4">
        <v>740</v>
      </c>
      <c r="K235" s="4">
        <v>128.5</v>
      </c>
      <c r="L235" s="4">
        <v>21</v>
      </c>
      <c r="M235" s="4">
        <v>441</v>
      </c>
      <c r="N235" s="4">
        <v>53</v>
      </c>
      <c r="O235" s="4">
        <v>37</v>
      </c>
      <c r="P235" s="4">
        <v>843</v>
      </c>
      <c r="Q235" s="4">
        <v>59</v>
      </c>
      <c r="R235" s="4">
        <v>53</v>
      </c>
      <c r="S235" s="4">
        <v>1061</v>
      </c>
      <c r="T235" s="4">
        <v>65</v>
      </c>
      <c r="U235" s="4">
        <v>53</v>
      </c>
      <c r="V235" s="4">
        <v>962</v>
      </c>
      <c r="W235" s="4">
        <v>307.5</v>
      </c>
      <c r="X235" s="4">
        <v>34</v>
      </c>
      <c r="Y235" s="4">
        <v>621</v>
      </c>
      <c r="Z235" s="4">
        <v>177</v>
      </c>
      <c r="AA235" s="4">
        <v>49</v>
      </c>
      <c r="AB235" s="4">
        <v>968</v>
      </c>
      <c r="AC235" s="4">
        <v>484.5</v>
      </c>
      <c r="AD235" s="4">
        <v>43</v>
      </c>
      <c r="AE235" s="4">
        <v>826</v>
      </c>
    </row>
    <row r="237" spans="2:31" ht="14.1" customHeight="1" x14ac:dyDescent="0.5">
      <c r="B237" t="s">
        <v>85</v>
      </c>
      <c r="C237" s="18" t="s">
        <v>73</v>
      </c>
      <c r="D237" s="20" t="s">
        <v>0</v>
      </c>
      <c r="E237" s="12" t="s">
        <v>1</v>
      </c>
      <c r="F237" s="13"/>
      <c r="G237" s="14"/>
      <c r="H237" s="12" t="s">
        <v>2</v>
      </c>
      <c r="I237" s="13"/>
      <c r="J237" s="14"/>
      <c r="K237" s="12" t="s">
        <v>3</v>
      </c>
      <c r="L237" s="13"/>
      <c r="M237" s="14"/>
      <c r="N237" s="12" t="s">
        <v>4</v>
      </c>
      <c r="O237" s="13"/>
      <c r="P237" s="14"/>
      <c r="Q237" s="12" t="s">
        <v>5</v>
      </c>
      <c r="R237" s="13"/>
      <c r="S237" s="14"/>
      <c r="T237" s="12" t="s">
        <v>6</v>
      </c>
      <c r="U237" s="13"/>
      <c r="V237" s="14"/>
      <c r="W237" s="12" t="s">
        <v>7</v>
      </c>
      <c r="X237" s="13"/>
      <c r="Y237" s="14"/>
      <c r="Z237" s="12" t="s">
        <v>8</v>
      </c>
      <c r="AA237" s="13"/>
      <c r="AB237" s="14"/>
      <c r="AC237" s="15" t="s">
        <v>75</v>
      </c>
      <c r="AD237" s="16"/>
      <c r="AE237" s="17"/>
    </row>
    <row r="238" spans="2:31" x14ac:dyDescent="0.5">
      <c r="C238" s="19"/>
      <c r="D238" s="21"/>
      <c r="E238" s="8" t="s">
        <v>9</v>
      </c>
      <c r="F238" s="8" t="s">
        <v>10</v>
      </c>
      <c r="G238" s="8" t="s">
        <v>11</v>
      </c>
      <c r="H238" s="8" t="s">
        <v>9</v>
      </c>
      <c r="I238" s="8" t="s">
        <v>10</v>
      </c>
      <c r="J238" s="8" t="s">
        <v>11</v>
      </c>
      <c r="K238" s="8" t="s">
        <v>9</v>
      </c>
      <c r="L238" s="8" t="s">
        <v>10</v>
      </c>
      <c r="M238" s="8" t="s">
        <v>11</v>
      </c>
      <c r="N238" s="8" t="s">
        <v>9</v>
      </c>
      <c r="O238" s="8" t="s">
        <v>10</v>
      </c>
      <c r="P238" s="8" t="s">
        <v>11</v>
      </c>
      <c r="Q238" s="8" t="s">
        <v>9</v>
      </c>
      <c r="R238" s="8" t="s">
        <v>10</v>
      </c>
      <c r="S238" s="8" t="s">
        <v>11</v>
      </c>
      <c r="T238" s="8" t="s">
        <v>9</v>
      </c>
      <c r="U238" s="8" t="s">
        <v>10</v>
      </c>
      <c r="V238" s="8" t="s">
        <v>11</v>
      </c>
      <c r="W238" s="8" t="s">
        <v>9</v>
      </c>
      <c r="X238" s="8" t="s">
        <v>10</v>
      </c>
      <c r="Y238" s="8" t="s">
        <v>11</v>
      </c>
      <c r="Z238" s="8" t="s">
        <v>9</v>
      </c>
      <c r="AA238" s="8" t="s">
        <v>10</v>
      </c>
      <c r="AB238" s="8" t="s">
        <v>11</v>
      </c>
      <c r="AC238" s="8" t="s">
        <v>12</v>
      </c>
      <c r="AD238" s="8" t="s">
        <v>13</v>
      </c>
      <c r="AE238" s="9" t="s">
        <v>11</v>
      </c>
    </row>
    <row r="239" spans="2:31" x14ac:dyDescent="0.5">
      <c r="C239" s="2" t="s">
        <v>61</v>
      </c>
      <c r="D239" s="3">
        <v>48</v>
      </c>
      <c r="E239" s="4">
        <v>111</v>
      </c>
      <c r="F239" s="4">
        <v>7</v>
      </c>
      <c r="G239" s="4">
        <v>131</v>
      </c>
      <c r="H239" s="4">
        <v>54</v>
      </c>
      <c r="I239" s="4">
        <v>55</v>
      </c>
      <c r="J239" s="4">
        <v>1268</v>
      </c>
      <c r="K239" s="4">
        <v>105</v>
      </c>
      <c r="L239" s="4">
        <v>55</v>
      </c>
      <c r="M239" s="4">
        <v>1172</v>
      </c>
      <c r="N239" s="4">
        <v>43</v>
      </c>
      <c r="O239" s="4">
        <v>49</v>
      </c>
      <c r="P239" s="4">
        <v>1046</v>
      </c>
      <c r="Q239" s="4">
        <v>77</v>
      </c>
      <c r="R239" s="4">
        <v>30</v>
      </c>
      <c r="S239" s="4">
        <v>518</v>
      </c>
      <c r="T239" s="4">
        <v>83</v>
      </c>
      <c r="U239" s="4">
        <v>26</v>
      </c>
      <c r="V239" s="4">
        <v>407</v>
      </c>
      <c r="W239" s="4">
        <v>270</v>
      </c>
      <c r="X239" s="4">
        <v>52</v>
      </c>
      <c r="Y239" s="4">
        <v>1061</v>
      </c>
      <c r="Z239" s="4">
        <v>203</v>
      </c>
      <c r="AA239" s="4">
        <v>39</v>
      </c>
      <c r="AB239" s="4">
        <v>703</v>
      </c>
      <c r="AC239" s="4">
        <v>473</v>
      </c>
      <c r="AD239" s="4">
        <v>46</v>
      </c>
      <c r="AE239" s="4">
        <v>891</v>
      </c>
    </row>
    <row r="240" spans="2:31" x14ac:dyDescent="0.5">
      <c r="C240" s="2" t="s">
        <v>61</v>
      </c>
      <c r="D240" s="3">
        <v>48</v>
      </c>
      <c r="E240" s="4">
        <v>111</v>
      </c>
      <c r="F240" s="4">
        <v>7</v>
      </c>
      <c r="G240" s="4">
        <v>131</v>
      </c>
      <c r="H240" s="4">
        <v>54</v>
      </c>
      <c r="I240" s="4">
        <v>55</v>
      </c>
      <c r="J240" s="4">
        <v>1268</v>
      </c>
      <c r="K240" s="4">
        <v>105</v>
      </c>
      <c r="L240" s="4">
        <v>55</v>
      </c>
      <c r="M240" s="4">
        <v>1172</v>
      </c>
      <c r="N240" s="4">
        <v>43</v>
      </c>
      <c r="O240" s="4">
        <v>49</v>
      </c>
      <c r="P240" s="4">
        <v>1046</v>
      </c>
      <c r="Q240" s="4">
        <v>77</v>
      </c>
      <c r="R240" s="4">
        <v>30</v>
      </c>
      <c r="S240" s="4">
        <v>518</v>
      </c>
      <c r="T240" s="4">
        <v>83</v>
      </c>
      <c r="U240" s="4">
        <v>26</v>
      </c>
      <c r="V240" s="4">
        <v>407</v>
      </c>
      <c r="W240" s="4">
        <v>270</v>
      </c>
      <c r="X240" s="4">
        <v>52</v>
      </c>
      <c r="Y240" s="4">
        <v>1061</v>
      </c>
      <c r="Z240" s="4">
        <v>203</v>
      </c>
      <c r="AA240" s="4">
        <v>39</v>
      </c>
      <c r="AB240" s="4">
        <v>703</v>
      </c>
      <c r="AC240" s="4">
        <v>473</v>
      </c>
      <c r="AD240" s="4">
        <v>46</v>
      </c>
      <c r="AE240" s="4">
        <v>891</v>
      </c>
    </row>
    <row r="242" spans="2:31" ht="14.1" customHeight="1" x14ac:dyDescent="0.5">
      <c r="B242" t="s">
        <v>85</v>
      </c>
      <c r="C242" s="18" t="s">
        <v>73</v>
      </c>
      <c r="D242" s="20" t="s">
        <v>0</v>
      </c>
      <c r="E242" s="12" t="s">
        <v>1</v>
      </c>
      <c r="F242" s="13"/>
      <c r="G242" s="14"/>
      <c r="H242" s="12" t="s">
        <v>2</v>
      </c>
      <c r="I242" s="13"/>
      <c r="J242" s="14"/>
      <c r="K242" s="12" t="s">
        <v>3</v>
      </c>
      <c r="L242" s="13"/>
      <c r="M242" s="14"/>
      <c r="N242" s="12" t="s">
        <v>4</v>
      </c>
      <c r="O242" s="13"/>
      <c r="P242" s="14"/>
      <c r="Q242" s="12" t="s">
        <v>5</v>
      </c>
      <c r="R242" s="13"/>
      <c r="S242" s="14"/>
      <c r="T242" s="12" t="s">
        <v>6</v>
      </c>
      <c r="U242" s="13"/>
      <c r="V242" s="14"/>
      <c r="W242" s="12" t="s">
        <v>7</v>
      </c>
      <c r="X242" s="13"/>
      <c r="Y242" s="14"/>
      <c r="Z242" s="12" t="s">
        <v>8</v>
      </c>
      <c r="AA242" s="13"/>
      <c r="AB242" s="14"/>
      <c r="AC242" s="15" t="s">
        <v>75</v>
      </c>
      <c r="AD242" s="16"/>
      <c r="AE242" s="17"/>
    </row>
    <row r="243" spans="2:31" x14ac:dyDescent="0.5">
      <c r="C243" s="19"/>
      <c r="D243" s="21"/>
      <c r="E243" s="8" t="s">
        <v>9</v>
      </c>
      <c r="F243" s="8" t="s">
        <v>10</v>
      </c>
      <c r="G243" s="8" t="s">
        <v>11</v>
      </c>
      <c r="H243" s="8" t="s">
        <v>9</v>
      </c>
      <c r="I243" s="8" t="s">
        <v>10</v>
      </c>
      <c r="J243" s="8" t="s">
        <v>11</v>
      </c>
      <c r="K243" s="8" t="s">
        <v>9</v>
      </c>
      <c r="L243" s="8" t="s">
        <v>10</v>
      </c>
      <c r="M243" s="8" t="s">
        <v>11</v>
      </c>
      <c r="N243" s="8" t="s">
        <v>9</v>
      </c>
      <c r="O243" s="8" t="s">
        <v>10</v>
      </c>
      <c r="P243" s="8" t="s">
        <v>11</v>
      </c>
      <c r="Q243" s="8" t="s">
        <v>9</v>
      </c>
      <c r="R243" s="8" t="s">
        <v>10</v>
      </c>
      <c r="S243" s="8" t="s">
        <v>11</v>
      </c>
      <c r="T243" s="8" t="s">
        <v>9</v>
      </c>
      <c r="U243" s="8" t="s">
        <v>10</v>
      </c>
      <c r="V243" s="8" t="s">
        <v>11</v>
      </c>
      <c r="W243" s="8" t="s">
        <v>9</v>
      </c>
      <c r="X243" s="8" t="s">
        <v>10</v>
      </c>
      <c r="Y243" s="8" t="s">
        <v>11</v>
      </c>
      <c r="Z243" s="8" t="s">
        <v>9</v>
      </c>
      <c r="AA243" s="8" t="s">
        <v>10</v>
      </c>
      <c r="AB243" s="8" t="s">
        <v>11</v>
      </c>
      <c r="AC243" s="8" t="s">
        <v>12</v>
      </c>
      <c r="AD243" s="8" t="s">
        <v>13</v>
      </c>
      <c r="AE243" s="9" t="s">
        <v>11</v>
      </c>
    </row>
    <row r="244" spans="2:31" x14ac:dyDescent="0.5">
      <c r="C244" s="2" t="s">
        <v>62</v>
      </c>
      <c r="D244" s="3">
        <v>49</v>
      </c>
      <c r="E244" s="4">
        <v>110</v>
      </c>
      <c r="F244" s="4">
        <v>8</v>
      </c>
      <c r="G244" s="4">
        <v>151</v>
      </c>
      <c r="H244" s="4">
        <v>108</v>
      </c>
      <c r="I244" s="4">
        <v>13</v>
      </c>
      <c r="J244" s="4">
        <v>244</v>
      </c>
      <c r="K244" s="4">
        <v>117</v>
      </c>
      <c r="L244" s="4">
        <v>42</v>
      </c>
      <c r="M244" s="4">
        <v>847</v>
      </c>
      <c r="N244" s="4">
        <v>85</v>
      </c>
      <c r="O244" s="4">
        <v>10</v>
      </c>
      <c r="P244" s="4">
        <v>189</v>
      </c>
      <c r="Q244" s="4">
        <v>88</v>
      </c>
      <c r="R244" s="4">
        <v>9</v>
      </c>
      <c r="S244" s="4">
        <v>158</v>
      </c>
      <c r="T244" s="4">
        <v>89</v>
      </c>
      <c r="U244" s="4">
        <v>13</v>
      </c>
      <c r="V244" s="4">
        <v>191</v>
      </c>
      <c r="W244" s="4">
        <v>335</v>
      </c>
      <c r="X244" s="4">
        <v>14</v>
      </c>
      <c r="Y244" s="4">
        <v>295</v>
      </c>
      <c r="Z244" s="4">
        <v>262</v>
      </c>
      <c r="AA244" s="4">
        <v>11</v>
      </c>
      <c r="AB244" s="4">
        <v>154</v>
      </c>
      <c r="AC244" s="4">
        <v>597</v>
      </c>
      <c r="AD244" s="4">
        <v>10</v>
      </c>
      <c r="AE244" s="4">
        <v>191</v>
      </c>
    </row>
    <row r="245" spans="2:31" x14ac:dyDescent="0.5">
      <c r="C245" s="2" t="s">
        <v>62</v>
      </c>
      <c r="D245" s="3">
        <v>49</v>
      </c>
      <c r="E245" s="4">
        <v>110</v>
      </c>
      <c r="F245" s="4">
        <v>8</v>
      </c>
      <c r="G245" s="4">
        <v>151</v>
      </c>
      <c r="H245" s="4">
        <v>108</v>
      </c>
      <c r="I245" s="4">
        <v>13</v>
      </c>
      <c r="J245" s="4">
        <v>244</v>
      </c>
      <c r="K245" s="4">
        <v>117</v>
      </c>
      <c r="L245" s="4">
        <v>42</v>
      </c>
      <c r="M245" s="4">
        <v>847</v>
      </c>
      <c r="N245" s="4">
        <v>85</v>
      </c>
      <c r="O245" s="4">
        <v>10</v>
      </c>
      <c r="P245" s="4">
        <v>189</v>
      </c>
      <c r="Q245" s="4">
        <v>88</v>
      </c>
      <c r="R245" s="4">
        <v>9</v>
      </c>
      <c r="S245" s="4">
        <v>158</v>
      </c>
      <c r="T245" s="4">
        <v>89</v>
      </c>
      <c r="U245" s="4">
        <v>13</v>
      </c>
      <c r="V245" s="4">
        <v>191</v>
      </c>
      <c r="W245" s="4">
        <v>335</v>
      </c>
      <c r="X245" s="4">
        <v>14</v>
      </c>
      <c r="Y245" s="4">
        <v>295</v>
      </c>
      <c r="Z245" s="4">
        <v>262</v>
      </c>
      <c r="AA245" s="4">
        <v>11</v>
      </c>
      <c r="AB245" s="4">
        <v>154</v>
      </c>
      <c r="AC245" s="4">
        <v>597</v>
      </c>
      <c r="AD245" s="4">
        <v>10</v>
      </c>
      <c r="AE245" s="4">
        <v>191</v>
      </c>
    </row>
    <row r="247" spans="2:31" ht="14.1" customHeight="1" x14ac:dyDescent="0.5">
      <c r="B247" t="s">
        <v>85</v>
      </c>
      <c r="C247" s="18" t="s">
        <v>73</v>
      </c>
      <c r="D247" s="20" t="s">
        <v>0</v>
      </c>
      <c r="E247" s="12" t="s">
        <v>1</v>
      </c>
      <c r="F247" s="13"/>
      <c r="G247" s="14"/>
      <c r="H247" s="12" t="s">
        <v>2</v>
      </c>
      <c r="I247" s="13"/>
      <c r="J247" s="14"/>
      <c r="K247" s="12" t="s">
        <v>3</v>
      </c>
      <c r="L247" s="13"/>
      <c r="M247" s="14"/>
      <c r="N247" s="12" t="s">
        <v>4</v>
      </c>
      <c r="O247" s="13"/>
      <c r="P247" s="14"/>
      <c r="Q247" s="12" t="s">
        <v>5</v>
      </c>
      <c r="R247" s="13"/>
      <c r="S247" s="14"/>
      <c r="T247" s="12" t="s">
        <v>6</v>
      </c>
      <c r="U247" s="13"/>
      <c r="V247" s="14"/>
      <c r="W247" s="12" t="s">
        <v>7</v>
      </c>
      <c r="X247" s="13"/>
      <c r="Y247" s="14"/>
      <c r="Z247" s="12" t="s">
        <v>8</v>
      </c>
      <c r="AA247" s="13"/>
      <c r="AB247" s="14"/>
      <c r="AC247" s="15" t="s">
        <v>75</v>
      </c>
      <c r="AD247" s="16"/>
      <c r="AE247" s="17"/>
    </row>
    <row r="248" spans="2:31" x14ac:dyDescent="0.5">
      <c r="C248" s="19"/>
      <c r="D248" s="21"/>
      <c r="E248" s="8" t="s">
        <v>9</v>
      </c>
      <c r="F248" s="8" t="s">
        <v>10</v>
      </c>
      <c r="G248" s="8" t="s">
        <v>11</v>
      </c>
      <c r="H248" s="8" t="s">
        <v>9</v>
      </c>
      <c r="I248" s="8" t="s">
        <v>10</v>
      </c>
      <c r="J248" s="8" t="s">
        <v>11</v>
      </c>
      <c r="K248" s="8" t="s">
        <v>9</v>
      </c>
      <c r="L248" s="8" t="s">
        <v>10</v>
      </c>
      <c r="M248" s="8" t="s">
        <v>11</v>
      </c>
      <c r="N248" s="8" t="s">
        <v>9</v>
      </c>
      <c r="O248" s="8" t="s">
        <v>10</v>
      </c>
      <c r="P248" s="8" t="s">
        <v>11</v>
      </c>
      <c r="Q248" s="8" t="s">
        <v>9</v>
      </c>
      <c r="R248" s="8" t="s">
        <v>10</v>
      </c>
      <c r="S248" s="8" t="s">
        <v>11</v>
      </c>
      <c r="T248" s="8" t="s">
        <v>9</v>
      </c>
      <c r="U248" s="8" t="s">
        <v>10</v>
      </c>
      <c r="V248" s="8" t="s">
        <v>11</v>
      </c>
      <c r="W248" s="8" t="s">
        <v>9</v>
      </c>
      <c r="X248" s="8" t="s">
        <v>10</v>
      </c>
      <c r="Y248" s="8" t="s">
        <v>11</v>
      </c>
      <c r="Z248" s="8" t="s">
        <v>9</v>
      </c>
      <c r="AA248" s="8" t="s">
        <v>10</v>
      </c>
      <c r="AB248" s="8" t="s">
        <v>11</v>
      </c>
      <c r="AC248" s="8" t="s">
        <v>12</v>
      </c>
      <c r="AD248" s="8" t="s">
        <v>13</v>
      </c>
      <c r="AE248" s="9" t="s">
        <v>11</v>
      </c>
    </row>
    <row r="249" spans="2:31" x14ac:dyDescent="0.5">
      <c r="C249" s="2" t="s">
        <v>63</v>
      </c>
      <c r="D249" s="3">
        <v>50</v>
      </c>
      <c r="E249" s="4">
        <v>112</v>
      </c>
      <c r="F249" s="4">
        <v>4</v>
      </c>
      <c r="G249" s="4">
        <v>104</v>
      </c>
      <c r="H249" s="4">
        <v>95</v>
      </c>
      <c r="I249" s="4">
        <v>22</v>
      </c>
      <c r="J249" s="4">
        <v>483</v>
      </c>
      <c r="K249" s="4">
        <v>125</v>
      </c>
      <c r="L249" s="4">
        <v>30</v>
      </c>
      <c r="M249" s="4">
        <v>555</v>
      </c>
      <c r="N249" s="4">
        <v>101</v>
      </c>
      <c r="O249" s="4">
        <v>3</v>
      </c>
      <c r="P249" s="4">
        <v>34</v>
      </c>
      <c r="Q249" s="4">
        <v>96</v>
      </c>
      <c r="R249" s="4">
        <v>2</v>
      </c>
      <c r="S249" s="4">
        <v>11</v>
      </c>
      <c r="T249" s="4">
        <v>98</v>
      </c>
      <c r="U249" s="4">
        <v>1</v>
      </c>
      <c r="V249" s="4">
        <v>2</v>
      </c>
      <c r="W249" s="4">
        <v>332</v>
      </c>
      <c r="X249" s="4">
        <v>16</v>
      </c>
      <c r="Y249" s="4">
        <v>328</v>
      </c>
      <c r="Z249" s="4">
        <v>295</v>
      </c>
      <c r="AA249" s="4">
        <v>1</v>
      </c>
      <c r="AB249" s="4">
        <v>5</v>
      </c>
      <c r="AC249" s="4">
        <v>627</v>
      </c>
      <c r="AD249" s="4">
        <v>5</v>
      </c>
      <c r="AE249" s="4">
        <v>92</v>
      </c>
    </row>
    <row r="250" spans="2:31" x14ac:dyDescent="0.5">
      <c r="C250" s="2" t="s">
        <v>63</v>
      </c>
      <c r="D250" s="3">
        <v>50</v>
      </c>
      <c r="E250" s="4">
        <v>112</v>
      </c>
      <c r="F250" s="4">
        <v>4</v>
      </c>
      <c r="G250" s="4">
        <v>104</v>
      </c>
      <c r="H250" s="4">
        <v>95</v>
      </c>
      <c r="I250" s="4">
        <v>22</v>
      </c>
      <c r="J250" s="4">
        <v>483</v>
      </c>
      <c r="K250" s="4">
        <v>125</v>
      </c>
      <c r="L250" s="4">
        <v>30</v>
      </c>
      <c r="M250" s="4">
        <v>555</v>
      </c>
      <c r="N250" s="4">
        <v>101</v>
      </c>
      <c r="O250" s="4">
        <v>3</v>
      </c>
      <c r="P250" s="4">
        <v>34</v>
      </c>
      <c r="Q250" s="4">
        <v>96</v>
      </c>
      <c r="R250" s="4">
        <v>2</v>
      </c>
      <c r="S250" s="4">
        <v>11</v>
      </c>
      <c r="T250" s="4">
        <v>98</v>
      </c>
      <c r="U250" s="4">
        <v>1</v>
      </c>
      <c r="V250" s="4">
        <v>2</v>
      </c>
      <c r="W250" s="4">
        <v>332</v>
      </c>
      <c r="X250" s="4">
        <v>16</v>
      </c>
      <c r="Y250" s="4">
        <v>328</v>
      </c>
      <c r="Z250" s="4">
        <v>295</v>
      </c>
      <c r="AA250" s="4">
        <v>1</v>
      </c>
      <c r="AB250" s="4">
        <v>5</v>
      </c>
      <c r="AC250" s="4">
        <v>627</v>
      </c>
      <c r="AD250" s="4">
        <v>5</v>
      </c>
      <c r="AE250" s="4">
        <v>92</v>
      </c>
    </row>
    <row r="252" spans="2:31" ht="14.1" customHeight="1" x14ac:dyDescent="0.5">
      <c r="B252" t="s">
        <v>85</v>
      </c>
      <c r="C252" s="18" t="s">
        <v>73</v>
      </c>
      <c r="D252" s="20" t="s">
        <v>0</v>
      </c>
      <c r="E252" s="12" t="s">
        <v>1</v>
      </c>
      <c r="F252" s="13"/>
      <c r="G252" s="14"/>
      <c r="H252" s="12" t="s">
        <v>2</v>
      </c>
      <c r="I252" s="13"/>
      <c r="J252" s="14"/>
      <c r="K252" s="12" t="s">
        <v>3</v>
      </c>
      <c r="L252" s="13"/>
      <c r="M252" s="14"/>
      <c r="N252" s="12" t="s">
        <v>4</v>
      </c>
      <c r="O252" s="13"/>
      <c r="P252" s="14"/>
      <c r="Q252" s="12" t="s">
        <v>5</v>
      </c>
      <c r="R252" s="13"/>
      <c r="S252" s="14"/>
      <c r="T252" s="12" t="s">
        <v>6</v>
      </c>
      <c r="U252" s="13"/>
      <c r="V252" s="14"/>
      <c r="W252" s="12" t="s">
        <v>7</v>
      </c>
      <c r="X252" s="13"/>
      <c r="Y252" s="14"/>
      <c r="Z252" s="12" t="s">
        <v>8</v>
      </c>
      <c r="AA252" s="13"/>
      <c r="AB252" s="14"/>
      <c r="AC252" s="15" t="s">
        <v>75</v>
      </c>
      <c r="AD252" s="16"/>
      <c r="AE252" s="17"/>
    </row>
    <row r="253" spans="2:31" x14ac:dyDescent="0.5">
      <c r="C253" s="19"/>
      <c r="D253" s="21"/>
      <c r="E253" s="8" t="s">
        <v>9</v>
      </c>
      <c r="F253" s="8" t="s">
        <v>10</v>
      </c>
      <c r="G253" s="8" t="s">
        <v>11</v>
      </c>
      <c r="H253" s="8" t="s">
        <v>9</v>
      </c>
      <c r="I253" s="8" t="s">
        <v>10</v>
      </c>
      <c r="J253" s="8" t="s">
        <v>11</v>
      </c>
      <c r="K253" s="8" t="s">
        <v>9</v>
      </c>
      <c r="L253" s="8" t="s">
        <v>10</v>
      </c>
      <c r="M253" s="8" t="s">
        <v>11</v>
      </c>
      <c r="N253" s="8" t="s">
        <v>9</v>
      </c>
      <c r="O253" s="8" t="s">
        <v>10</v>
      </c>
      <c r="P253" s="8" t="s">
        <v>11</v>
      </c>
      <c r="Q253" s="8" t="s">
        <v>9</v>
      </c>
      <c r="R253" s="8" t="s">
        <v>10</v>
      </c>
      <c r="S253" s="8" t="s">
        <v>11</v>
      </c>
      <c r="T253" s="8" t="s">
        <v>9</v>
      </c>
      <c r="U253" s="8" t="s">
        <v>10</v>
      </c>
      <c r="V253" s="8" t="s">
        <v>11</v>
      </c>
      <c r="W253" s="8" t="s">
        <v>9</v>
      </c>
      <c r="X253" s="8" t="s">
        <v>10</v>
      </c>
      <c r="Y253" s="8" t="s">
        <v>11</v>
      </c>
      <c r="Z253" s="8" t="s">
        <v>9</v>
      </c>
      <c r="AA253" s="8" t="s">
        <v>10</v>
      </c>
      <c r="AB253" s="8" t="s">
        <v>11</v>
      </c>
      <c r="AC253" s="8" t="s">
        <v>12</v>
      </c>
      <c r="AD253" s="8" t="s">
        <v>13</v>
      </c>
      <c r="AE253" s="9" t="s">
        <v>11</v>
      </c>
    </row>
    <row r="254" spans="2:31" x14ac:dyDescent="0.5">
      <c r="C254" s="2" t="s">
        <v>64</v>
      </c>
      <c r="D254" s="3">
        <v>51</v>
      </c>
      <c r="E254" s="4">
        <v>103</v>
      </c>
      <c r="F254" s="4">
        <v>22</v>
      </c>
      <c r="G254" s="4">
        <v>374</v>
      </c>
      <c r="H254" s="4">
        <v>107</v>
      </c>
      <c r="I254" s="4">
        <v>14</v>
      </c>
      <c r="J254" s="4">
        <v>258</v>
      </c>
      <c r="K254" s="4">
        <v>120</v>
      </c>
      <c r="L254" s="4">
        <v>39</v>
      </c>
      <c r="M254" s="4">
        <v>752</v>
      </c>
      <c r="N254" s="4">
        <v>81</v>
      </c>
      <c r="O254" s="4">
        <v>14</v>
      </c>
      <c r="P254" s="4">
        <v>251</v>
      </c>
      <c r="Q254" s="4">
        <v>86</v>
      </c>
      <c r="R254" s="4">
        <v>14</v>
      </c>
      <c r="S254" s="4">
        <v>220</v>
      </c>
      <c r="T254" s="4">
        <v>97</v>
      </c>
      <c r="U254" s="4">
        <v>3</v>
      </c>
      <c r="V254" s="4">
        <v>10</v>
      </c>
      <c r="W254" s="4">
        <v>330</v>
      </c>
      <c r="X254" s="4">
        <v>20</v>
      </c>
      <c r="Y254" s="4">
        <v>349</v>
      </c>
      <c r="Z254" s="4">
        <v>264</v>
      </c>
      <c r="AA254" s="4">
        <v>10</v>
      </c>
      <c r="AB254" s="4">
        <v>136</v>
      </c>
      <c r="AC254" s="4">
        <v>594</v>
      </c>
      <c r="AD254" s="4">
        <v>12</v>
      </c>
      <c r="AE254" s="4">
        <v>206</v>
      </c>
    </row>
    <row r="255" spans="2:31" x14ac:dyDescent="0.5">
      <c r="C255" s="2" t="s">
        <v>64</v>
      </c>
      <c r="D255" s="3">
        <v>51</v>
      </c>
      <c r="E255" s="4">
        <v>103</v>
      </c>
      <c r="F255" s="4">
        <v>22</v>
      </c>
      <c r="G255" s="4">
        <v>374</v>
      </c>
      <c r="H255" s="4">
        <v>107</v>
      </c>
      <c r="I255" s="4">
        <v>14</v>
      </c>
      <c r="J255" s="4">
        <v>258</v>
      </c>
      <c r="K255" s="4">
        <v>120</v>
      </c>
      <c r="L255" s="4">
        <v>39</v>
      </c>
      <c r="M255" s="4">
        <v>752</v>
      </c>
      <c r="N255" s="4">
        <v>81</v>
      </c>
      <c r="O255" s="4">
        <v>14</v>
      </c>
      <c r="P255" s="4">
        <v>251</v>
      </c>
      <c r="Q255" s="4">
        <v>86</v>
      </c>
      <c r="R255" s="4">
        <v>14</v>
      </c>
      <c r="S255" s="4">
        <v>220</v>
      </c>
      <c r="T255" s="4">
        <v>97</v>
      </c>
      <c r="U255" s="4">
        <v>3</v>
      </c>
      <c r="V255" s="4">
        <v>10</v>
      </c>
      <c r="W255" s="4">
        <v>330</v>
      </c>
      <c r="X255" s="4">
        <v>20</v>
      </c>
      <c r="Y255" s="4">
        <v>349</v>
      </c>
      <c r="Z255" s="4">
        <v>264</v>
      </c>
      <c r="AA255" s="4">
        <v>10</v>
      </c>
      <c r="AB255" s="4">
        <v>136</v>
      </c>
      <c r="AC255" s="4">
        <v>594</v>
      </c>
      <c r="AD255" s="4">
        <v>12</v>
      </c>
      <c r="AE255" s="4">
        <v>206</v>
      </c>
    </row>
    <row r="257" spans="2:31" ht="14.1" customHeight="1" x14ac:dyDescent="0.5">
      <c r="B257" t="s">
        <v>85</v>
      </c>
      <c r="C257" s="18" t="s">
        <v>73</v>
      </c>
      <c r="D257" s="20" t="s">
        <v>0</v>
      </c>
      <c r="E257" s="12" t="s">
        <v>1</v>
      </c>
      <c r="F257" s="13"/>
      <c r="G257" s="14"/>
      <c r="H257" s="12" t="s">
        <v>2</v>
      </c>
      <c r="I257" s="13"/>
      <c r="J257" s="14"/>
      <c r="K257" s="12" t="s">
        <v>3</v>
      </c>
      <c r="L257" s="13"/>
      <c r="M257" s="14"/>
      <c r="N257" s="12" t="s">
        <v>4</v>
      </c>
      <c r="O257" s="13"/>
      <c r="P257" s="14"/>
      <c r="Q257" s="12" t="s">
        <v>5</v>
      </c>
      <c r="R257" s="13"/>
      <c r="S257" s="14"/>
      <c r="T257" s="12" t="s">
        <v>6</v>
      </c>
      <c r="U257" s="13"/>
      <c r="V257" s="14"/>
      <c r="W257" s="12" t="s">
        <v>7</v>
      </c>
      <c r="X257" s="13"/>
      <c r="Y257" s="14"/>
      <c r="Z257" s="12" t="s">
        <v>8</v>
      </c>
      <c r="AA257" s="13"/>
      <c r="AB257" s="14"/>
      <c r="AC257" s="15" t="s">
        <v>75</v>
      </c>
      <c r="AD257" s="16"/>
      <c r="AE257" s="17"/>
    </row>
    <row r="258" spans="2:31" x14ac:dyDescent="0.5">
      <c r="C258" s="19"/>
      <c r="D258" s="21"/>
      <c r="E258" s="8" t="s">
        <v>9</v>
      </c>
      <c r="F258" s="8" t="s">
        <v>10</v>
      </c>
      <c r="G258" s="8" t="s">
        <v>11</v>
      </c>
      <c r="H258" s="8" t="s">
        <v>9</v>
      </c>
      <c r="I258" s="8" t="s">
        <v>10</v>
      </c>
      <c r="J258" s="8" t="s">
        <v>11</v>
      </c>
      <c r="K258" s="8" t="s">
        <v>9</v>
      </c>
      <c r="L258" s="8" t="s">
        <v>10</v>
      </c>
      <c r="M258" s="8" t="s">
        <v>11</v>
      </c>
      <c r="N258" s="8" t="s">
        <v>9</v>
      </c>
      <c r="O258" s="8" t="s">
        <v>10</v>
      </c>
      <c r="P258" s="8" t="s">
        <v>11</v>
      </c>
      <c r="Q258" s="8" t="s">
        <v>9</v>
      </c>
      <c r="R258" s="8" t="s">
        <v>10</v>
      </c>
      <c r="S258" s="8" t="s">
        <v>11</v>
      </c>
      <c r="T258" s="8" t="s">
        <v>9</v>
      </c>
      <c r="U258" s="8" t="s">
        <v>10</v>
      </c>
      <c r="V258" s="8" t="s">
        <v>11</v>
      </c>
      <c r="W258" s="8" t="s">
        <v>9</v>
      </c>
      <c r="X258" s="8" t="s">
        <v>10</v>
      </c>
      <c r="Y258" s="8" t="s">
        <v>11</v>
      </c>
      <c r="Z258" s="8" t="s">
        <v>9</v>
      </c>
      <c r="AA258" s="8" t="s">
        <v>10</v>
      </c>
      <c r="AB258" s="8" t="s">
        <v>11</v>
      </c>
      <c r="AC258" s="8" t="s">
        <v>12</v>
      </c>
      <c r="AD258" s="8" t="s">
        <v>13</v>
      </c>
      <c r="AE258" s="9" t="s">
        <v>11</v>
      </c>
    </row>
    <row r="259" spans="2:31" x14ac:dyDescent="0.5">
      <c r="C259" s="2" t="s">
        <v>65</v>
      </c>
      <c r="D259" s="3">
        <v>52</v>
      </c>
      <c r="E259" s="4">
        <v>79</v>
      </c>
      <c r="F259" s="4">
        <v>53</v>
      </c>
      <c r="G259" s="4">
        <v>1288</v>
      </c>
      <c r="H259" s="4">
        <v>53</v>
      </c>
      <c r="I259" s="4">
        <v>56</v>
      </c>
      <c r="J259" s="4">
        <v>1280</v>
      </c>
      <c r="K259" s="4">
        <v>113.5</v>
      </c>
      <c r="L259" s="4">
        <v>47</v>
      </c>
      <c r="M259" s="4">
        <v>959</v>
      </c>
      <c r="N259" s="4">
        <v>41</v>
      </c>
      <c r="O259" s="4">
        <v>52</v>
      </c>
      <c r="P259" s="4">
        <v>1096</v>
      </c>
      <c r="Q259" s="4">
        <v>56</v>
      </c>
      <c r="R259" s="4">
        <v>56</v>
      </c>
      <c r="S259" s="4">
        <v>1107</v>
      </c>
      <c r="T259" s="4">
        <v>69</v>
      </c>
      <c r="U259" s="4">
        <v>49</v>
      </c>
      <c r="V259" s="4">
        <v>855</v>
      </c>
      <c r="W259" s="4">
        <v>245.5</v>
      </c>
      <c r="X259" s="4">
        <v>56</v>
      </c>
      <c r="Y259" s="4">
        <v>1265</v>
      </c>
      <c r="Z259" s="4">
        <v>166</v>
      </c>
      <c r="AA259" s="4">
        <v>53</v>
      </c>
      <c r="AB259" s="4">
        <v>1071</v>
      </c>
      <c r="AC259" s="4">
        <v>411.5</v>
      </c>
      <c r="AD259" s="4">
        <v>56</v>
      </c>
      <c r="AE259" s="4">
        <v>1174</v>
      </c>
    </row>
    <row r="260" spans="2:31" x14ac:dyDescent="0.5">
      <c r="C260" s="2" t="s">
        <v>65</v>
      </c>
      <c r="D260" s="3">
        <v>52</v>
      </c>
      <c r="E260" s="4">
        <v>79</v>
      </c>
      <c r="F260" s="4">
        <v>53</v>
      </c>
      <c r="G260" s="4">
        <v>1288</v>
      </c>
      <c r="H260" s="4">
        <v>53</v>
      </c>
      <c r="I260" s="4">
        <v>56</v>
      </c>
      <c r="J260" s="4">
        <v>1280</v>
      </c>
      <c r="K260" s="4">
        <v>113.5</v>
      </c>
      <c r="L260" s="4">
        <v>47</v>
      </c>
      <c r="M260" s="4">
        <v>959</v>
      </c>
      <c r="N260" s="4">
        <v>41</v>
      </c>
      <c r="O260" s="4">
        <v>52</v>
      </c>
      <c r="P260" s="4">
        <v>1096</v>
      </c>
      <c r="Q260" s="4">
        <v>56</v>
      </c>
      <c r="R260" s="4">
        <v>56</v>
      </c>
      <c r="S260" s="4">
        <v>1107</v>
      </c>
      <c r="T260" s="4">
        <v>69</v>
      </c>
      <c r="U260" s="4">
        <v>49</v>
      </c>
      <c r="V260" s="4">
        <v>855</v>
      </c>
      <c r="W260" s="4">
        <v>245.5</v>
      </c>
      <c r="X260" s="4">
        <v>56</v>
      </c>
      <c r="Y260" s="4">
        <v>1265</v>
      </c>
      <c r="Z260" s="4">
        <v>166</v>
      </c>
      <c r="AA260" s="4">
        <v>53</v>
      </c>
      <c r="AB260" s="4">
        <v>1071</v>
      </c>
      <c r="AC260" s="4">
        <v>411.5</v>
      </c>
      <c r="AD260" s="4">
        <v>56</v>
      </c>
      <c r="AE260" s="4">
        <v>1174</v>
      </c>
    </row>
    <row r="262" spans="2:31" ht="14.1" customHeight="1" x14ac:dyDescent="0.5">
      <c r="B262" t="s">
        <v>85</v>
      </c>
      <c r="C262" s="18" t="s">
        <v>73</v>
      </c>
      <c r="D262" s="20" t="s">
        <v>0</v>
      </c>
      <c r="E262" s="12" t="s">
        <v>1</v>
      </c>
      <c r="F262" s="13"/>
      <c r="G262" s="14"/>
      <c r="H262" s="12" t="s">
        <v>2</v>
      </c>
      <c r="I262" s="13"/>
      <c r="J262" s="14"/>
      <c r="K262" s="12" t="s">
        <v>3</v>
      </c>
      <c r="L262" s="13"/>
      <c r="M262" s="14"/>
      <c r="N262" s="12" t="s">
        <v>4</v>
      </c>
      <c r="O262" s="13"/>
      <c r="P262" s="14"/>
      <c r="Q262" s="12" t="s">
        <v>5</v>
      </c>
      <c r="R262" s="13"/>
      <c r="S262" s="14"/>
      <c r="T262" s="12" t="s">
        <v>6</v>
      </c>
      <c r="U262" s="13"/>
      <c r="V262" s="14"/>
      <c r="W262" s="12" t="s">
        <v>7</v>
      </c>
      <c r="X262" s="13"/>
      <c r="Y262" s="14"/>
      <c r="Z262" s="12" t="s">
        <v>8</v>
      </c>
      <c r="AA262" s="13"/>
      <c r="AB262" s="14"/>
      <c r="AC262" s="15" t="s">
        <v>75</v>
      </c>
      <c r="AD262" s="16"/>
      <c r="AE262" s="17"/>
    </row>
    <row r="263" spans="2:31" x14ac:dyDescent="0.5">
      <c r="C263" s="19"/>
      <c r="D263" s="21"/>
      <c r="E263" s="8" t="s">
        <v>9</v>
      </c>
      <c r="F263" s="8" t="s">
        <v>10</v>
      </c>
      <c r="G263" s="8" t="s">
        <v>11</v>
      </c>
      <c r="H263" s="8" t="s">
        <v>9</v>
      </c>
      <c r="I263" s="8" t="s">
        <v>10</v>
      </c>
      <c r="J263" s="8" t="s">
        <v>11</v>
      </c>
      <c r="K263" s="8" t="s">
        <v>9</v>
      </c>
      <c r="L263" s="8" t="s">
        <v>10</v>
      </c>
      <c r="M263" s="8" t="s">
        <v>11</v>
      </c>
      <c r="N263" s="8" t="s">
        <v>9</v>
      </c>
      <c r="O263" s="8" t="s">
        <v>10</v>
      </c>
      <c r="P263" s="8" t="s">
        <v>11</v>
      </c>
      <c r="Q263" s="8" t="s">
        <v>9</v>
      </c>
      <c r="R263" s="8" t="s">
        <v>10</v>
      </c>
      <c r="S263" s="8" t="s">
        <v>11</v>
      </c>
      <c r="T263" s="8" t="s">
        <v>9</v>
      </c>
      <c r="U263" s="8" t="s">
        <v>10</v>
      </c>
      <c r="V263" s="8" t="s">
        <v>11</v>
      </c>
      <c r="W263" s="8" t="s">
        <v>9</v>
      </c>
      <c r="X263" s="8" t="s">
        <v>10</v>
      </c>
      <c r="Y263" s="8" t="s">
        <v>11</v>
      </c>
      <c r="Z263" s="8" t="s">
        <v>9</v>
      </c>
      <c r="AA263" s="8" t="s">
        <v>10</v>
      </c>
      <c r="AB263" s="8" t="s">
        <v>11</v>
      </c>
      <c r="AC263" s="8" t="s">
        <v>12</v>
      </c>
      <c r="AD263" s="8" t="s">
        <v>13</v>
      </c>
      <c r="AE263" s="9" t="s">
        <v>11</v>
      </c>
    </row>
    <row r="264" spans="2:31" x14ac:dyDescent="0.5">
      <c r="C264" s="2" t="s">
        <v>66</v>
      </c>
      <c r="D264" s="3">
        <v>53</v>
      </c>
      <c r="E264" s="4">
        <v>105</v>
      </c>
      <c r="F264" s="4">
        <v>16</v>
      </c>
      <c r="G264" s="4">
        <v>307</v>
      </c>
      <c r="H264" s="4">
        <v>104</v>
      </c>
      <c r="I264" s="4">
        <v>15</v>
      </c>
      <c r="J264" s="4">
        <v>314</v>
      </c>
      <c r="K264" s="4">
        <v>129</v>
      </c>
      <c r="L264" s="4">
        <v>19</v>
      </c>
      <c r="M264" s="4">
        <v>425</v>
      </c>
      <c r="N264" s="4">
        <v>51</v>
      </c>
      <c r="O264" s="4">
        <v>40</v>
      </c>
      <c r="P264" s="4">
        <v>883</v>
      </c>
      <c r="Q264" s="4">
        <v>82</v>
      </c>
      <c r="R264" s="4">
        <v>20</v>
      </c>
      <c r="S264" s="4">
        <v>347</v>
      </c>
      <c r="T264" s="4">
        <v>86</v>
      </c>
      <c r="U264" s="4">
        <v>18</v>
      </c>
      <c r="V264" s="4">
        <v>301</v>
      </c>
      <c r="W264" s="4">
        <v>338</v>
      </c>
      <c r="X264" s="4">
        <v>12</v>
      </c>
      <c r="Y264" s="4">
        <v>252</v>
      </c>
      <c r="Z264" s="4">
        <v>219</v>
      </c>
      <c r="AA264" s="4">
        <v>30</v>
      </c>
      <c r="AB264" s="4">
        <v>545</v>
      </c>
      <c r="AC264" s="4">
        <v>557</v>
      </c>
      <c r="AD264" s="4">
        <v>21</v>
      </c>
      <c r="AE264" s="4">
        <v>393</v>
      </c>
    </row>
    <row r="265" spans="2:31" x14ac:dyDescent="0.5">
      <c r="C265" s="2" t="s">
        <v>66</v>
      </c>
      <c r="D265" s="3">
        <v>53</v>
      </c>
      <c r="E265" s="4">
        <v>105</v>
      </c>
      <c r="F265" s="4">
        <v>16</v>
      </c>
      <c r="G265" s="4">
        <v>307</v>
      </c>
      <c r="H265" s="4">
        <v>104</v>
      </c>
      <c r="I265" s="4">
        <v>15</v>
      </c>
      <c r="J265" s="4">
        <v>314</v>
      </c>
      <c r="K265" s="4">
        <v>129</v>
      </c>
      <c r="L265" s="4">
        <v>19</v>
      </c>
      <c r="M265" s="4">
        <v>425</v>
      </c>
      <c r="N265" s="4">
        <v>51</v>
      </c>
      <c r="O265" s="4">
        <v>40</v>
      </c>
      <c r="P265" s="4">
        <v>883</v>
      </c>
      <c r="Q265" s="4">
        <v>82</v>
      </c>
      <c r="R265" s="4">
        <v>20</v>
      </c>
      <c r="S265" s="4">
        <v>347</v>
      </c>
      <c r="T265" s="4">
        <v>86</v>
      </c>
      <c r="U265" s="4">
        <v>18</v>
      </c>
      <c r="V265" s="4">
        <v>301</v>
      </c>
      <c r="W265" s="4">
        <v>338</v>
      </c>
      <c r="X265" s="4">
        <v>12</v>
      </c>
      <c r="Y265" s="4">
        <v>252</v>
      </c>
      <c r="Z265" s="4">
        <v>219</v>
      </c>
      <c r="AA265" s="4">
        <v>30</v>
      </c>
      <c r="AB265" s="4">
        <v>545</v>
      </c>
      <c r="AC265" s="4">
        <v>557</v>
      </c>
      <c r="AD265" s="4">
        <v>21</v>
      </c>
      <c r="AE265" s="4">
        <v>393</v>
      </c>
    </row>
    <row r="267" spans="2:31" ht="14.1" customHeight="1" x14ac:dyDescent="0.5">
      <c r="B267" t="s">
        <v>85</v>
      </c>
      <c r="C267" s="18" t="s">
        <v>73</v>
      </c>
      <c r="D267" s="20" t="s">
        <v>0</v>
      </c>
      <c r="E267" s="12" t="s">
        <v>1</v>
      </c>
      <c r="F267" s="13"/>
      <c r="G267" s="14"/>
      <c r="H267" s="12" t="s">
        <v>2</v>
      </c>
      <c r="I267" s="13"/>
      <c r="J267" s="14"/>
      <c r="K267" s="12" t="s">
        <v>3</v>
      </c>
      <c r="L267" s="13"/>
      <c r="M267" s="14"/>
      <c r="N267" s="12" t="s">
        <v>4</v>
      </c>
      <c r="O267" s="13"/>
      <c r="P267" s="14"/>
      <c r="Q267" s="12" t="s">
        <v>5</v>
      </c>
      <c r="R267" s="13"/>
      <c r="S267" s="14"/>
      <c r="T267" s="12" t="s">
        <v>6</v>
      </c>
      <c r="U267" s="13"/>
      <c r="V267" s="14"/>
      <c r="W267" s="12" t="s">
        <v>7</v>
      </c>
      <c r="X267" s="13"/>
      <c r="Y267" s="14"/>
      <c r="Z267" s="12" t="s">
        <v>8</v>
      </c>
      <c r="AA267" s="13"/>
      <c r="AB267" s="14"/>
      <c r="AC267" s="15" t="s">
        <v>75</v>
      </c>
      <c r="AD267" s="16"/>
      <c r="AE267" s="17"/>
    </row>
    <row r="268" spans="2:31" x14ac:dyDescent="0.5">
      <c r="C268" s="19"/>
      <c r="D268" s="21"/>
      <c r="E268" s="8" t="s">
        <v>9</v>
      </c>
      <c r="F268" s="8" t="s">
        <v>10</v>
      </c>
      <c r="G268" s="8" t="s">
        <v>11</v>
      </c>
      <c r="H268" s="8" t="s">
        <v>9</v>
      </c>
      <c r="I268" s="8" t="s">
        <v>10</v>
      </c>
      <c r="J268" s="8" t="s">
        <v>11</v>
      </c>
      <c r="K268" s="8" t="s">
        <v>9</v>
      </c>
      <c r="L268" s="8" t="s">
        <v>10</v>
      </c>
      <c r="M268" s="8" t="s">
        <v>11</v>
      </c>
      <c r="N268" s="8" t="s">
        <v>9</v>
      </c>
      <c r="O268" s="8" t="s">
        <v>10</v>
      </c>
      <c r="P268" s="8" t="s">
        <v>11</v>
      </c>
      <c r="Q268" s="8" t="s">
        <v>9</v>
      </c>
      <c r="R268" s="8" t="s">
        <v>10</v>
      </c>
      <c r="S268" s="8" t="s">
        <v>11</v>
      </c>
      <c r="T268" s="8" t="s">
        <v>9</v>
      </c>
      <c r="U268" s="8" t="s">
        <v>10</v>
      </c>
      <c r="V268" s="8" t="s">
        <v>11</v>
      </c>
      <c r="W268" s="8" t="s">
        <v>9</v>
      </c>
      <c r="X268" s="8" t="s">
        <v>10</v>
      </c>
      <c r="Y268" s="8" t="s">
        <v>11</v>
      </c>
      <c r="Z268" s="8" t="s">
        <v>9</v>
      </c>
      <c r="AA268" s="8" t="s">
        <v>10</v>
      </c>
      <c r="AB268" s="8" t="s">
        <v>11</v>
      </c>
      <c r="AC268" s="8" t="s">
        <v>12</v>
      </c>
      <c r="AD268" s="8" t="s">
        <v>13</v>
      </c>
      <c r="AE268" s="9" t="s">
        <v>11</v>
      </c>
    </row>
    <row r="269" spans="2:31" x14ac:dyDescent="0.5">
      <c r="C269" s="2" t="s">
        <v>67</v>
      </c>
      <c r="D269" s="3">
        <v>54</v>
      </c>
      <c r="E269" s="4">
        <v>61</v>
      </c>
      <c r="F269" s="4">
        <v>59</v>
      </c>
      <c r="G269" s="4">
        <v>1412</v>
      </c>
      <c r="H269" s="4">
        <v>49</v>
      </c>
      <c r="I269" s="4">
        <v>58</v>
      </c>
      <c r="J269" s="4">
        <v>1328</v>
      </c>
      <c r="K269" s="4">
        <v>126</v>
      </c>
      <c r="L269" s="4">
        <v>26</v>
      </c>
      <c r="M269" s="4">
        <v>521</v>
      </c>
      <c r="N269" s="4">
        <v>46</v>
      </c>
      <c r="O269" s="4">
        <v>48</v>
      </c>
      <c r="P269" s="4">
        <v>986</v>
      </c>
      <c r="Q269" s="4">
        <v>58</v>
      </c>
      <c r="R269" s="4">
        <v>54</v>
      </c>
      <c r="S269" s="4">
        <v>1069</v>
      </c>
      <c r="T269" s="4">
        <v>44</v>
      </c>
      <c r="U269" s="4">
        <v>59</v>
      </c>
      <c r="V269" s="4">
        <v>1348</v>
      </c>
      <c r="W269" s="4">
        <v>236</v>
      </c>
      <c r="X269" s="4">
        <v>58</v>
      </c>
      <c r="Y269" s="4">
        <v>1314</v>
      </c>
      <c r="Z269" s="4">
        <v>148</v>
      </c>
      <c r="AA269" s="4">
        <v>59</v>
      </c>
      <c r="AB269" s="4">
        <v>1207</v>
      </c>
      <c r="AC269" s="4">
        <v>384</v>
      </c>
      <c r="AD269" s="4">
        <v>58</v>
      </c>
      <c r="AE269" s="4">
        <v>1284</v>
      </c>
    </row>
    <row r="270" spans="2:31" x14ac:dyDescent="0.5">
      <c r="C270" s="2" t="s">
        <v>67</v>
      </c>
      <c r="D270" s="3">
        <v>54</v>
      </c>
      <c r="E270" s="4">
        <v>61</v>
      </c>
      <c r="F270" s="4">
        <v>59</v>
      </c>
      <c r="G270" s="4">
        <v>1412</v>
      </c>
      <c r="H270" s="4">
        <v>49</v>
      </c>
      <c r="I270" s="4">
        <v>58</v>
      </c>
      <c r="J270" s="4">
        <v>1328</v>
      </c>
      <c r="K270" s="4">
        <v>126</v>
      </c>
      <c r="L270" s="4">
        <v>26</v>
      </c>
      <c r="M270" s="4">
        <v>521</v>
      </c>
      <c r="N270" s="4">
        <v>46</v>
      </c>
      <c r="O270" s="4">
        <v>48</v>
      </c>
      <c r="P270" s="4">
        <v>986</v>
      </c>
      <c r="Q270" s="4">
        <v>58</v>
      </c>
      <c r="R270" s="4">
        <v>54</v>
      </c>
      <c r="S270" s="4">
        <v>1069</v>
      </c>
      <c r="T270" s="4">
        <v>44</v>
      </c>
      <c r="U270" s="4">
        <v>59</v>
      </c>
      <c r="V270" s="4">
        <v>1348</v>
      </c>
      <c r="W270" s="4">
        <v>236</v>
      </c>
      <c r="X270" s="4">
        <v>58</v>
      </c>
      <c r="Y270" s="4">
        <v>1314</v>
      </c>
      <c r="Z270" s="4">
        <v>148</v>
      </c>
      <c r="AA270" s="4">
        <v>59</v>
      </c>
      <c r="AB270" s="4">
        <v>1207</v>
      </c>
      <c r="AC270" s="4">
        <v>384</v>
      </c>
      <c r="AD270" s="4">
        <v>58</v>
      </c>
      <c r="AE270" s="4">
        <v>1284</v>
      </c>
    </row>
    <row r="272" spans="2:31" ht="14.1" customHeight="1" x14ac:dyDescent="0.5">
      <c r="B272" t="s">
        <v>85</v>
      </c>
      <c r="C272" s="18" t="s">
        <v>73</v>
      </c>
      <c r="D272" s="20" t="s">
        <v>0</v>
      </c>
      <c r="E272" s="12" t="s">
        <v>1</v>
      </c>
      <c r="F272" s="13"/>
      <c r="G272" s="14"/>
      <c r="H272" s="12" t="s">
        <v>2</v>
      </c>
      <c r="I272" s="13"/>
      <c r="J272" s="14"/>
      <c r="K272" s="12" t="s">
        <v>3</v>
      </c>
      <c r="L272" s="13"/>
      <c r="M272" s="14"/>
      <c r="N272" s="12" t="s">
        <v>4</v>
      </c>
      <c r="O272" s="13"/>
      <c r="P272" s="14"/>
      <c r="Q272" s="12" t="s">
        <v>5</v>
      </c>
      <c r="R272" s="13"/>
      <c r="S272" s="14"/>
      <c r="T272" s="12" t="s">
        <v>6</v>
      </c>
      <c r="U272" s="13"/>
      <c r="V272" s="14"/>
      <c r="W272" s="12" t="s">
        <v>7</v>
      </c>
      <c r="X272" s="13"/>
      <c r="Y272" s="14"/>
      <c r="Z272" s="12" t="s">
        <v>8</v>
      </c>
      <c r="AA272" s="13"/>
      <c r="AB272" s="14"/>
      <c r="AC272" s="15" t="s">
        <v>75</v>
      </c>
      <c r="AD272" s="16"/>
      <c r="AE272" s="17"/>
    </row>
    <row r="273" spans="2:31" x14ac:dyDescent="0.5">
      <c r="C273" s="19"/>
      <c r="D273" s="21"/>
      <c r="E273" s="8" t="s">
        <v>9</v>
      </c>
      <c r="F273" s="8" t="s">
        <v>10</v>
      </c>
      <c r="G273" s="8" t="s">
        <v>11</v>
      </c>
      <c r="H273" s="8" t="s">
        <v>9</v>
      </c>
      <c r="I273" s="8" t="s">
        <v>10</v>
      </c>
      <c r="J273" s="8" t="s">
        <v>11</v>
      </c>
      <c r="K273" s="8" t="s">
        <v>9</v>
      </c>
      <c r="L273" s="8" t="s">
        <v>10</v>
      </c>
      <c r="M273" s="8" t="s">
        <v>11</v>
      </c>
      <c r="N273" s="8" t="s">
        <v>9</v>
      </c>
      <c r="O273" s="8" t="s">
        <v>10</v>
      </c>
      <c r="P273" s="8" t="s">
        <v>11</v>
      </c>
      <c r="Q273" s="8" t="s">
        <v>9</v>
      </c>
      <c r="R273" s="8" t="s">
        <v>10</v>
      </c>
      <c r="S273" s="8" t="s">
        <v>11</v>
      </c>
      <c r="T273" s="8" t="s">
        <v>9</v>
      </c>
      <c r="U273" s="8" t="s">
        <v>10</v>
      </c>
      <c r="V273" s="8" t="s">
        <v>11</v>
      </c>
      <c r="W273" s="8" t="s">
        <v>9</v>
      </c>
      <c r="X273" s="8" t="s">
        <v>10</v>
      </c>
      <c r="Y273" s="8" t="s">
        <v>11</v>
      </c>
      <c r="Z273" s="8" t="s">
        <v>9</v>
      </c>
      <c r="AA273" s="8" t="s">
        <v>10</v>
      </c>
      <c r="AB273" s="8" t="s">
        <v>11</v>
      </c>
      <c r="AC273" s="8" t="s">
        <v>12</v>
      </c>
      <c r="AD273" s="8" t="s">
        <v>13</v>
      </c>
      <c r="AE273" s="9" t="s">
        <v>11</v>
      </c>
    </row>
    <row r="274" spans="2:31" x14ac:dyDescent="0.5">
      <c r="C274" s="2" t="s">
        <v>68</v>
      </c>
      <c r="D274" s="3">
        <v>55</v>
      </c>
      <c r="E274" s="4">
        <v>110</v>
      </c>
      <c r="F274" s="4">
        <v>8</v>
      </c>
      <c r="G274" s="4">
        <v>151</v>
      </c>
      <c r="H274" s="4">
        <v>97</v>
      </c>
      <c r="I274" s="4">
        <v>19</v>
      </c>
      <c r="J274" s="4">
        <v>437</v>
      </c>
      <c r="K274" s="4">
        <v>127</v>
      </c>
      <c r="L274" s="4">
        <v>25</v>
      </c>
      <c r="M274" s="4">
        <v>490</v>
      </c>
      <c r="N274" s="4">
        <v>90</v>
      </c>
      <c r="O274" s="4">
        <v>7</v>
      </c>
      <c r="P274" s="4">
        <v>120</v>
      </c>
      <c r="Q274" s="4">
        <v>86</v>
      </c>
      <c r="R274" s="4">
        <v>14</v>
      </c>
      <c r="S274" s="4">
        <v>220</v>
      </c>
      <c r="T274" s="4">
        <v>84</v>
      </c>
      <c r="U274" s="4">
        <v>23</v>
      </c>
      <c r="V274" s="4">
        <v>379</v>
      </c>
      <c r="W274" s="4">
        <v>334</v>
      </c>
      <c r="X274" s="4">
        <v>15</v>
      </c>
      <c r="Y274" s="4">
        <v>301</v>
      </c>
      <c r="Z274" s="4">
        <v>260</v>
      </c>
      <c r="AA274" s="4">
        <v>12</v>
      </c>
      <c r="AB274" s="4">
        <v>169</v>
      </c>
      <c r="AC274" s="4">
        <v>594</v>
      </c>
      <c r="AD274" s="4">
        <v>12</v>
      </c>
      <c r="AE274" s="4">
        <v>206</v>
      </c>
    </row>
    <row r="275" spans="2:31" x14ac:dyDescent="0.5">
      <c r="C275" s="2" t="s">
        <v>68</v>
      </c>
      <c r="D275" s="3">
        <v>55</v>
      </c>
      <c r="E275" s="4">
        <v>110</v>
      </c>
      <c r="F275" s="4">
        <v>8</v>
      </c>
      <c r="G275" s="4">
        <v>151</v>
      </c>
      <c r="H275" s="4">
        <v>97</v>
      </c>
      <c r="I275" s="4">
        <v>19</v>
      </c>
      <c r="J275" s="4">
        <v>437</v>
      </c>
      <c r="K275" s="4">
        <v>127</v>
      </c>
      <c r="L275" s="4">
        <v>25</v>
      </c>
      <c r="M275" s="4">
        <v>490</v>
      </c>
      <c r="N275" s="4">
        <v>90</v>
      </c>
      <c r="O275" s="4">
        <v>7</v>
      </c>
      <c r="P275" s="4">
        <v>120</v>
      </c>
      <c r="Q275" s="4">
        <v>86</v>
      </c>
      <c r="R275" s="4">
        <v>14</v>
      </c>
      <c r="S275" s="4">
        <v>220</v>
      </c>
      <c r="T275" s="4">
        <v>84</v>
      </c>
      <c r="U275" s="4">
        <v>23</v>
      </c>
      <c r="V275" s="4">
        <v>379</v>
      </c>
      <c r="W275" s="4">
        <v>334</v>
      </c>
      <c r="X275" s="4">
        <v>15</v>
      </c>
      <c r="Y275" s="4">
        <v>301</v>
      </c>
      <c r="Z275" s="4">
        <v>260</v>
      </c>
      <c r="AA275" s="4">
        <v>12</v>
      </c>
      <c r="AB275" s="4">
        <v>169</v>
      </c>
      <c r="AC275" s="4">
        <v>594</v>
      </c>
      <c r="AD275" s="4">
        <v>12</v>
      </c>
      <c r="AE275" s="4">
        <v>206</v>
      </c>
    </row>
    <row r="277" spans="2:31" ht="14.1" customHeight="1" x14ac:dyDescent="0.5">
      <c r="B277" t="s">
        <v>85</v>
      </c>
      <c r="C277" s="18" t="s">
        <v>73</v>
      </c>
      <c r="D277" s="20" t="s">
        <v>0</v>
      </c>
      <c r="E277" s="12" t="s">
        <v>1</v>
      </c>
      <c r="F277" s="13"/>
      <c r="G277" s="14"/>
      <c r="H277" s="12" t="s">
        <v>2</v>
      </c>
      <c r="I277" s="13"/>
      <c r="J277" s="14"/>
      <c r="K277" s="12" t="s">
        <v>3</v>
      </c>
      <c r="L277" s="13"/>
      <c r="M277" s="14"/>
      <c r="N277" s="12" t="s">
        <v>4</v>
      </c>
      <c r="O277" s="13"/>
      <c r="P277" s="14"/>
      <c r="Q277" s="12" t="s">
        <v>5</v>
      </c>
      <c r="R277" s="13"/>
      <c r="S277" s="14"/>
      <c r="T277" s="12" t="s">
        <v>6</v>
      </c>
      <c r="U277" s="13"/>
      <c r="V277" s="14"/>
      <c r="W277" s="12" t="s">
        <v>7</v>
      </c>
      <c r="X277" s="13"/>
      <c r="Y277" s="14"/>
      <c r="Z277" s="12" t="s">
        <v>8</v>
      </c>
      <c r="AA277" s="13"/>
      <c r="AB277" s="14"/>
      <c r="AC277" s="15" t="s">
        <v>75</v>
      </c>
      <c r="AD277" s="16"/>
      <c r="AE277" s="17"/>
    </row>
    <row r="278" spans="2:31" x14ac:dyDescent="0.5">
      <c r="C278" s="19"/>
      <c r="D278" s="21"/>
      <c r="E278" s="8" t="s">
        <v>9</v>
      </c>
      <c r="F278" s="8" t="s">
        <v>10</v>
      </c>
      <c r="G278" s="8" t="s">
        <v>11</v>
      </c>
      <c r="H278" s="8" t="s">
        <v>9</v>
      </c>
      <c r="I278" s="8" t="s">
        <v>10</v>
      </c>
      <c r="J278" s="8" t="s">
        <v>11</v>
      </c>
      <c r="K278" s="8" t="s">
        <v>9</v>
      </c>
      <c r="L278" s="8" t="s">
        <v>10</v>
      </c>
      <c r="M278" s="8" t="s">
        <v>11</v>
      </c>
      <c r="N278" s="8" t="s">
        <v>9</v>
      </c>
      <c r="O278" s="8" t="s">
        <v>10</v>
      </c>
      <c r="P278" s="8" t="s">
        <v>11</v>
      </c>
      <c r="Q278" s="8" t="s">
        <v>9</v>
      </c>
      <c r="R278" s="8" t="s">
        <v>10</v>
      </c>
      <c r="S278" s="8" t="s">
        <v>11</v>
      </c>
      <c r="T278" s="8" t="s">
        <v>9</v>
      </c>
      <c r="U278" s="8" t="s">
        <v>10</v>
      </c>
      <c r="V278" s="8" t="s">
        <v>11</v>
      </c>
      <c r="W278" s="8" t="s">
        <v>9</v>
      </c>
      <c r="X278" s="8" t="s">
        <v>10</v>
      </c>
      <c r="Y278" s="8" t="s">
        <v>11</v>
      </c>
      <c r="Z278" s="8" t="s">
        <v>9</v>
      </c>
      <c r="AA278" s="8" t="s">
        <v>10</v>
      </c>
      <c r="AB278" s="8" t="s">
        <v>11</v>
      </c>
      <c r="AC278" s="8" t="s">
        <v>12</v>
      </c>
      <c r="AD278" s="8" t="s">
        <v>13</v>
      </c>
      <c r="AE278" s="9" t="s">
        <v>11</v>
      </c>
    </row>
    <row r="279" spans="2:31" x14ac:dyDescent="0.5">
      <c r="C279" s="2" t="s">
        <v>69</v>
      </c>
      <c r="D279" s="3">
        <v>56</v>
      </c>
      <c r="E279" s="4">
        <v>112</v>
      </c>
      <c r="F279" s="4">
        <v>4</v>
      </c>
      <c r="G279" s="4">
        <v>104</v>
      </c>
      <c r="H279" s="4">
        <v>98</v>
      </c>
      <c r="I279" s="4">
        <v>18</v>
      </c>
      <c r="J279" s="4">
        <v>426</v>
      </c>
      <c r="K279" s="4">
        <v>118.5</v>
      </c>
      <c r="L279" s="4">
        <v>41</v>
      </c>
      <c r="M279" s="4">
        <v>803</v>
      </c>
      <c r="N279" s="4">
        <v>59</v>
      </c>
      <c r="O279" s="4">
        <v>34</v>
      </c>
      <c r="P279" s="4">
        <v>709</v>
      </c>
      <c r="Q279" s="4">
        <v>74</v>
      </c>
      <c r="R279" s="4">
        <v>35</v>
      </c>
      <c r="S279" s="4">
        <v>603</v>
      </c>
      <c r="T279" s="4">
        <v>78</v>
      </c>
      <c r="U279" s="4">
        <v>36</v>
      </c>
      <c r="V279" s="4">
        <v>568</v>
      </c>
      <c r="W279" s="4">
        <v>328.5</v>
      </c>
      <c r="X279" s="4">
        <v>22</v>
      </c>
      <c r="Y279" s="4">
        <v>365</v>
      </c>
      <c r="Z279" s="4">
        <v>211</v>
      </c>
      <c r="AA279" s="4">
        <v>34</v>
      </c>
      <c r="AB279" s="4">
        <v>626</v>
      </c>
      <c r="AC279" s="4">
        <v>539.5</v>
      </c>
      <c r="AD279" s="4">
        <v>29</v>
      </c>
      <c r="AE279" s="4">
        <v>502</v>
      </c>
    </row>
    <row r="280" spans="2:31" x14ac:dyDescent="0.5">
      <c r="C280" s="2" t="s">
        <v>69</v>
      </c>
      <c r="D280" s="3">
        <v>56</v>
      </c>
      <c r="E280" s="4">
        <v>112</v>
      </c>
      <c r="F280" s="4">
        <v>4</v>
      </c>
      <c r="G280" s="4">
        <v>104</v>
      </c>
      <c r="H280" s="4">
        <v>98</v>
      </c>
      <c r="I280" s="4">
        <v>18</v>
      </c>
      <c r="J280" s="4">
        <v>426</v>
      </c>
      <c r="K280" s="4">
        <v>118.5</v>
      </c>
      <c r="L280" s="4">
        <v>41</v>
      </c>
      <c r="M280" s="4">
        <v>803</v>
      </c>
      <c r="N280" s="4">
        <v>59</v>
      </c>
      <c r="O280" s="4">
        <v>34</v>
      </c>
      <c r="P280" s="4">
        <v>709</v>
      </c>
      <c r="Q280" s="4">
        <v>74</v>
      </c>
      <c r="R280" s="4">
        <v>35</v>
      </c>
      <c r="S280" s="4">
        <v>603</v>
      </c>
      <c r="T280" s="4">
        <v>78</v>
      </c>
      <c r="U280" s="4">
        <v>36</v>
      </c>
      <c r="V280" s="4">
        <v>568</v>
      </c>
      <c r="W280" s="4">
        <v>328.5</v>
      </c>
      <c r="X280" s="4">
        <v>22</v>
      </c>
      <c r="Y280" s="4">
        <v>365</v>
      </c>
      <c r="Z280" s="4">
        <v>211</v>
      </c>
      <c r="AA280" s="4">
        <v>34</v>
      </c>
      <c r="AB280" s="4">
        <v>626</v>
      </c>
      <c r="AC280" s="4">
        <v>539.5</v>
      </c>
      <c r="AD280" s="4">
        <v>29</v>
      </c>
      <c r="AE280" s="4">
        <v>502</v>
      </c>
    </row>
    <row r="282" spans="2:31" ht="14.1" customHeight="1" x14ac:dyDescent="0.5">
      <c r="B282" t="s">
        <v>85</v>
      </c>
      <c r="C282" s="18" t="s">
        <v>73</v>
      </c>
      <c r="D282" s="20" t="s">
        <v>0</v>
      </c>
      <c r="E282" s="12" t="s">
        <v>1</v>
      </c>
      <c r="F282" s="13"/>
      <c r="G282" s="14"/>
      <c r="H282" s="12" t="s">
        <v>2</v>
      </c>
      <c r="I282" s="13"/>
      <c r="J282" s="14"/>
      <c r="K282" s="12" t="s">
        <v>3</v>
      </c>
      <c r="L282" s="13"/>
      <c r="M282" s="14"/>
      <c r="N282" s="12" t="s">
        <v>4</v>
      </c>
      <c r="O282" s="13"/>
      <c r="P282" s="14"/>
      <c r="Q282" s="12" t="s">
        <v>5</v>
      </c>
      <c r="R282" s="13"/>
      <c r="S282" s="14"/>
      <c r="T282" s="12" t="s">
        <v>6</v>
      </c>
      <c r="U282" s="13"/>
      <c r="V282" s="14"/>
      <c r="W282" s="12" t="s">
        <v>7</v>
      </c>
      <c r="X282" s="13"/>
      <c r="Y282" s="14"/>
      <c r="Z282" s="12" t="s">
        <v>8</v>
      </c>
      <c r="AA282" s="13"/>
      <c r="AB282" s="14"/>
      <c r="AC282" s="15" t="s">
        <v>75</v>
      </c>
      <c r="AD282" s="16"/>
      <c r="AE282" s="17"/>
    </row>
    <row r="283" spans="2:31" x14ac:dyDescent="0.5">
      <c r="C283" s="19"/>
      <c r="D283" s="21"/>
      <c r="E283" s="8" t="s">
        <v>9</v>
      </c>
      <c r="F283" s="8" t="s">
        <v>10</v>
      </c>
      <c r="G283" s="8" t="s">
        <v>11</v>
      </c>
      <c r="H283" s="8" t="s">
        <v>9</v>
      </c>
      <c r="I283" s="8" t="s">
        <v>10</v>
      </c>
      <c r="J283" s="8" t="s">
        <v>11</v>
      </c>
      <c r="K283" s="8" t="s">
        <v>9</v>
      </c>
      <c r="L283" s="8" t="s">
        <v>10</v>
      </c>
      <c r="M283" s="8" t="s">
        <v>11</v>
      </c>
      <c r="N283" s="8" t="s">
        <v>9</v>
      </c>
      <c r="O283" s="8" t="s">
        <v>10</v>
      </c>
      <c r="P283" s="8" t="s">
        <v>11</v>
      </c>
      <c r="Q283" s="8" t="s">
        <v>9</v>
      </c>
      <c r="R283" s="8" t="s">
        <v>10</v>
      </c>
      <c r="S283" s="8" t="s">
        <v>11</v>
      </c>
      <c r="T283" s="8" t="s">
        <v>9</v>
      </c>
      <c r="U283" s="8" t="s">
        <v>10</v>
      </c>
      <c r="V283" s="8" t="s">
        <v>11</v>
      </c>
      <c r="W283" s="8" t="s">
        <v>9</v>
      </c>
      <c r="X283" s="8" t="s">
        <v>10</v>
      </c>
      <c r="Y283" s="8" t="s">
        <v>11</v>
      </c>
      <c r="Z283" s="8" t="s">
        <v>9</v>
      </c>
      <c r="AA283" s="8" t="s">
        <v>10</v>
      </c>
      <c r="AB283" s="8" t="s">
        <v>11</v>
      </c>
      <c r="AC283" s="8" t="s">
        <v>12</v>
      </c>
      <c r="AD283" s="8" t="s">
        <v>13</v>
      </c>
      <c r="AE283" s="9" t="s">
        <v>11</v>
      </c>
    </row>
    <row r="284" spans="2:31" x14ac:dyDescent="0.5">
      <c r="C284" s="2" t="s">
        <v>70</v>
      </c>
      <c r="D284" s="3">
        <v>57</v>
      </c>
      <c r="E284" s="4">
        <v>89</v>
      </c>
      <c r="F284" s="4">
        <v>48</v>
      </c>
      <c r="G284" s="4">
        <v>1009</v>
      </c>
      <c r="H284" s="4">
        <v>68</v>
      </c>
      <c r="I284" s="4">
        <v>49</v>
      </c>
      <c r="J284" s="4">
        <v>1044</v>
      </c>
      <c r="K284" s="4">
        <v>123.5</v>
      </c>
      <c r="L284" s="4">
        <v>34</v>
      </c>
      <c r="M284" s="4">
        <v>615</v>
      </c>
      <c r="N284" s="4">
        <v>36</v>
      </c>
      <c r="O284" s="4">
        <v>55</v>
      </c>
      <c r="P284" s="4">
        <v>1206</v>
      </c>
      <c r="Q284" s="4">
        <v>62</v>
      </c>
      <c r="R284" s="4">
        <v>51</v>
      </c>
      <c r="S284" s="4">
        <v>987</v>
      </c>
      <c r="T284" s="4">
        <v>67</v>
      </c>
      <c r="U284" s="4">
        <v>51</v>
      </c>
      <c r="V284" s="4">
        <v>918</v>
      </c>
      <c r="W284" s="4">
        <v>280.5</v>
      </c>
      <c r="X284" s="4">
        <v>48</v>
      </c>
      <c r="Y284" s="4">
        <v>962</v>
      </c>
      <c r="Z284" s="4">
        <v>165</v>
      </c>
      <c r="AA284" s="4">
        <v>54</v>
      </c>
      <c r="AB284" s="4">
        <v>1080</v>
      </c>
      <c r="AC284" s="4">
        <v>445.5</v>
      </c>
      <c r="AD284" s="4">
        <v>53</v>
      </c>
      <c r="AE284" s="4">
        <v>1037</v>
      </c>
    </row>
    <row r="285" spans="2:31" x14ac:dyDescent="0.5">
      <c r="C285" s="2" t="s">
        <v>70</v>
      </c>
      <c r="D285" s="3">
        <v>57</v>
      </c>
      <c r="E285" s="4">
        <v>89</v>
      </c>
      <c r="F285" s="4">
        <v>48</v>
      </c>
      <c r="G285" s="4">
        <v>1009</v>
      </c>
      <c r="H285" s="4">
        <v>68</v>
      </c>
      <c r="I285" s="4">
        <v>49</v>
      </c>
      <c r="J285" s="4">
        <v>1044</v>
      </c>
      <c r="K285" s="4">
        <v>123.5</v>
      </c>
      <c r="L285" s="4">
        <v>34</v>
      </c>
      <c r="M285" s="4">
        <v>615</v>
      </c>
      <c r="N285" s="4">
        <v>36</v>
      </c>
      <c r="O285" s="4">
        <v>55</v>
      </c>
      <c r="P285" s="4">
        <v>1206</v>
      </c>
      <c r="Q285" s="4">
        <v>62</v>
      </c>
      <c r="R285" s="4">
        <v>51</v>
      </c>
      <c r="S285" s="4">
        <v>987</v>
      </c>
      <c r="T285" s="4">
        <v>67</v>
      </c>
      <c r="U285" s="4">
        <v>51</v>
      </c>
      <c r="V285" s="4">
        <v>918</v>
      </c>
      <c r="W285" s="4">
        <v>280.5</v>
      </c>
      <c r="X285" s="4">
        <v>48</v>
      </c>
      <c r="Y285" s="4">
        <v>962</v>
      </c>
      <c r="Z285" s="4">
        <v>165</v>
      </c>
      <c r="AA285" s="4">
        <v>54</v>
      </c>
      <c r="AB285" s="4">
        <v>1080</v>
      </c>
      <c r="AC285" s="4">
        <v>445.5</v>
      </c>
      <c r="AD285" s="4">
        <v>53</v>
      </c>
      <c r="AE285" s="4">
        <v>1037</v>
      </c>
    </row>
    <row r="287" spans="2:31" ht="14.1" customHeight="1" x14ac:dyDescent="0.5">
      <c r="B287" t="s">
        <v>85</v>
      </c>
      <c r="C287" s="18" t="s">
        <v>73</v>
      </c>
      <c r="D287" s="20" t="s">
        <v>0</v>
      </c>
      <c r="E287" s="12" t="s">
        <v>1</v>
      </c>
      <c r="F287" s="13"/>
      <c r="G287" s="14"/>
      <c r="H287" s="12" t="s">
        <v>2</v>
      </c>
      <c r="I287" s="13"/>
      <c r="J287" s="14"/>
      <c r="K287" s="12" t="s">
        <v>3</v>
      </c>
      <c r="L287" s="13"/>
      <c r="M287" s="14"/>
      <c r="N287" s="12" t="s">
        <v>4</v>
      </c>
      <c r="O287" s="13"/>
      <c r="P287" s="14"/>
      <c r="Q287" s="12" t="s">
        <v>5</v>
      </c>
      <c r="R287" s="13"/>
      <c r="S287" s="14"/>
      <c r="T287" s="12" t="s">
        <v>6</v>
      </c>
      <c r="U287" s="13"/>
      <c r="V287" s="14"/>
      <c r="W287" s="12" t="s">
        <v>7</v>
      </c>
      <c r="X287" s="13"/>
      <c r="Y287" s="14"/>
      <c r="Z287" s="12" t="s">
        <v>8</v>
      </c>
      <c r="AA287" s="13"/>
      <c r="AB287" s="14"/>
      <c r="AC287" s="15" t="s">
        <v>75</v>
      </c>
      <c r="AD287" s="16"/>
      <c r="AE287" s="17"/>
    </row>
    <row r="288" spans="2:31" x14ac:dyDescent="0.5">
      <c r="C288" s="19"/>
      <c r="D288" s="21"/>
      <c r="E288" s="8" t="s">
        <v>9</v>
      </c>
      <c r="F288" s="8" t="s">
        <v>10</v>
      </c>
      <c r="G288" s="8" t="s">
        <v>11</v>
      </c>
      <c r="H288" s="8" t="s">
        <v>9</v>
      </c>
      <c r="I288" s="8" t="s">
        <v>10</v>
      </c>
      <c r="J288" s="8" t="s">
        <v>11</v>
      </c>
      <c r="K288" s="8" t="s">
        <v>9</v>
      </c>
      <c r="L288" s="8" t="s">
        <v>10</v>
      </c>
      <c r="M288" s="8" t="s">
        <v>11</v>
      </c>
      <c r="N288" s="8" t="s">
        <v>9</v>
      </c>
      <c r="O288" s="8" t="s">
        <v>10</v>
      </c>
      <c r="P288" s="8" t="s">
        <v>11</v>
      </c>
      <c r="Q288" s="8" t="s">
        <v>9</v>
      </c>
      <c r="R288" s="8" t="s">
        <v>10</v>
      </c>
      <c r="S288" s="8" t="s">
        <v>11</v>
      </c>
      <c r="T288" s="8" t="s">
        <v>9</v>
      </c>
      <c r="U288" s="8" t="s">
        <v>10</v>
      </c>
      <c r="V288" s="8" t="s">
        <v>11</v>
      </c>
      <c r="W288" s="8" t="s">
        <v>9</v>
      </c>
      <c r="X288" s="8" t="s">
        <v>10</v>
      </c>
      <c r="Y288" s="8" t="s">
        <v>11</v>
      </c>
      <c r="Z288" s="8" t="s">
        <v>9</v>
      </c>
      <c r="AA288" s="8" t="s">
        <v>10</v>
      </c>
      <c r="AB288" s="8" t="s">
        <v>11</v>
      </c>
      <c r="AC288" s="8" t="s">
        <v>12</v>
      </c>
      <c r="AD288" s="8" t="s">
        <v>13</v>
      </c>
      <c r="AE288" s="9" t="s">
        <v>11</v>
      </c>
    </row>
    <row r="289" spans="2:31" x14ac:dyDescent="0.5">
      <c r="C289" s="2" t="s">
        <v>71</v>
      </c>
      <c r="D289" s="3">
        <v>58</v>
      </c>
      <c r="E289" s="4">
        <v>101</v>
      </c>
      <c r="F289" s="4">
        <v>24</v>
      </c>
      <c r="G289" s="4">
        <v>457</v>
      </c>
      <c r="H289" s="4">
        <v>55</v>
      </c>
      <c r="I289" s="4">
        <v>54</v>
      </c>
      <c r="J289" s="4">
        <v>1245</v>
      </c>
      <c r="K289" s="4">
        <v>125.5</v>
      </c>
      <c r="L289" s="4">
        <v>29</v>
      </c>
      <c r="M289" s="4">
        <v>541</v>
      </c>
      <c r="N289" s="4">
        <v>62</v>
      </c>
      <c r="O289" s="4">
        <v>29</v>
      </c>
      <c r="P289" s="4">
        <v>637</v>
      </c>
      <c r="Q289" s="4">
        <v>66</v>
      </c>
      <c r="R289" s="4">
        <v>47</v>
      </c>
      <c r="S289" s="4">
        <v>868</v>
      </c>
      <c r="T289" s="4">
        <v>72</v>
      </c>
      <c r="U289" s="4">
        <v>42</v>
      </c>
      <c r="V289" s="4">
        <v>757</v>
      </c>
      <c r="W289" s="4">
        <v>281.5</v>
      </c>
      <c r="X289" s="4">
        <v>46</v>
      </c>
      <c r="Y289" s="4">
        <v>950</v>
      </c>
      <c r="Z289" s="4">
        <v>200</v>
      </c>
      <c r="AA289" s="4">
        <v>41</v>
      </c>
      <c r="AB289" s="4">
        <v>740</v>
      </c>
      <c r="AC289" s="4">
        <v>481.5</v>
      </c>
      <c r="AD289" s="4">
        <v>44</v>
      </c>
      <c r="AE289" s="4">
        <v>841</v>
      </c>
    </row>
    <row r="290" spans="2:31" x14ac:dyDescent="0.5">
      <c r="C290" s="2" t="s">
        <v>71</v>
      </c>
      <c r="D290" s="3">
        <v>58</v>
      </c>
      <c r="E290" s="4">
        <v>101</v>
      </c>
      <c r="F290" s="4">
        <v>24</v>
      </c>
      <c r="G290" s="4">
        <v>457</v>
      </c>
      <c r="H290" s="4">
        <v>55</v>
      </c>
      <c r="I290" s="4">
        <v>54</v>
      </c>
      <c r="J290" s="4">
        <v>1245</v>
      </c>
      <c r="K290" s="4">
        <v>125.5</v>
      </c>
      <c r="L290" s="4">
        <v>29</v>
      </c>
      <c r="M290" s="4">
        <v>541</v>
      </c>
      <c r="N290" s="4">
        <v>62</v>
      </c>
      <c r="O290" s="4">
        <v>29</v>
      </c>
      <c r="P290" s="4">
        <v>637</v>
      </c>
      <c r="Q290" s="4">
        <v>66</v>
      </c>
      <c r="R290" s="4">
        <v>47</v>
      </c>
      <c r="S290" s="4">
        <v>868</v>
      </c>
      <c r="T290" s="4">
        <v>72</v>
      </c>
      <c r="U290" s="4">
        <v>42</v>
      </c>
      <c r="V290" s="4">
        <v>757</v>
      </c>
      <c r="W290" s="4">
        <v>281.5</v>
      </c>
      <c r="X290" s="4">
        <v>46</v>
      </c>
      <c r="Y290" s="4">
        <v>950</v>
      </c>
      <c r="Z290" s="4">
        <v>200</v>
      </c>
      <c r="AA290" s="4">
        <v>41</v>
      </c>
      <c r="AB290" s="4">
        <v>740</v>
      </c>
      <c r="AC290" s="4">
        <v>481.5</v>
      </c>
      <c r="AD290" s="4">
        <v>44</v>
      </c>
      <c r="AE290" s="4">
        <v>841</v>
      </c>
    </row>
    <row r="292" spans="2:31" ht="14.1" customHeight="1" x14ac:dyDescent="0.5">
      <c r="B292" t="s">
        <v>85</v>
      </c>
      <c r="C292" s="18" t="s">
        <v>73</v>
      </c>
      <c r="D292" s="20" t="s">
        <v>0</v>
      </c>
      <c r="E292" s="12" t="s">
        <v>1</v>
      </c>
      <c r="F292" s="13"/>
      <c r="G292" s="14"/>
      <c r="H292" s="12" t="s">
        <v>2</v>
      </c>
      <c r="I292" s="13"/>
      <c r="J292" s="14"/>
      <c r="K292" s="12" t="s">
        <v>3</v>
      </c>
      <c r="L292" s="13"/>
      <c r="M292" s="14"/>
      <c r="N292" s="12" t="s">
        <v>4</v>
      </c>
      <c r="O292" s="13"/>
      <c r="P292" s="14"/>
      <c r="Q292" s="12" t="s">
        <v>5</v>
      </c>
      <c r="R292" s="13"/>
      <c r="S292" s="14"/>
      <c r="T292" s="12" t="s">
        <v>6</v>
      </c>
      <c r="U292" s="13"/>
      <c r="V292" s="14"/>
      <c r="W292" s="12" t="s">
        <v>7</v>
      </c>
      <c r="X292" s="13"/>
      <c r="Y292" s="14"/>
      <c r="Z292" s="12" t="s">
        <v>8</v>
      </c>
      <c r="AA292" s="13"/>
      <c r="AB292" s="14"/>
      <c r="AC292" s="15" t="s">
        <v>75</v>
      </c>
      <c r="AD292" s="16"/>
      <c r="AE292" s="17"/>
    </row>
    <row r="293" spans="2:31" x14ac:dyDescent="0.5">
      <c r="C293" s="19"/>
      <c r="D293" s="21"/>
      <c r="E293" s="8" t="s">
        <v>9</v>
      </c>
      <c r="F293" s="8" t="s">
        <v>10</v>
      </c>
      <c r="G293" s="8" t="s">
        <v>11</v>
      </c>
      <c r="H293" s="8" t="s">
        <v>9</v>
      </c>
      <c r="I293" s="8" t="s">
        <v>10</v>
      </c>
      <c r="J293" s="8" t="s">
        <v>11</v>
      </c>
      <c r="K293" s="8" t="s">
        <v>9</v>
      </c>
      <c r="L293" s="8" t="s">
        <v>10</v>
      </c>
      <c r="M293" s="8" t="s">
        <v>11</v>
      </c>
      <c r="N293" s="8" t="s">
        <v>9</v>
      </c>
      <c r="O293" s="8" t="s">
        <v>10</v>
      </c>
      <c r="P293" s="8" t="s">
        <v>11</v>
      </c>
      <c r="Q293" s="8" t="s">
        <v>9</v>
      </c>
      <c r="R293" s="8" t="s">
        <v>10</v>
      </c>
      <c r="S293" s="8" t="s">
        <v>11</v>
      </c>
      <c r="T293" s="8" t="s">
        <v>9</v>
      </c>
      <c r="U293" s="8" t="s">
        <v>10</v>
      </c>
      <c r="V293" s="8" t="s">
        <v>11</v>
      </c>
      <c r="W293" s="8" t="s">
        <v>9</v>
      </c>
      <c r="X293" s="8" t="s">
        <v>10</v>
      </c>
      <c r="Y293" s="8" t="s">
        <v>11</v>
      </c>
      <c r="Z293" s="8" t="s">
        <v>9</v>
      </c>
      <c r="AA293" s="8" t="s">
        <v>10</v>
      </c>
      <c r="AB293" s="8" t="s">
        <v>11</v>
      </c>
      <c r="AC293" s="8" t="s">
        <v>12</v>
      </c>
      <c r="AD293" s="8" t="s">
        <v>13</v>
      </c>
      <c r="AE293" s="9" t="s">
        <v>11</v>
      </c>
    </row>
    <row r="294" spans="2:31" x14ac:dyDescent="0.5">
      <c r="C294" s="2" t="s">
        <v>72</v>
      </c>
      <c r="D294" s="3">
        <v>59</v>
      </c>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row>
    <row r="295" spans="2:31" x14ac:dyDescent="0.5">
      <c r="C295" s="2" t="s">
        <v>72</v>
      </c>
      <c r="D295" s="3">
        <v>59</v>
      </c>
    </row>
  </sheetData>
  <mergeCells count="649">
    <mergeCell ref="Q292:S292"/>
    <mergeCell ref="T292:V292"/>
    <mergeCell ref="W292:Y292"/>
    <mergeCell ref="Z292:AB292"/>
    <mergeCell ref="AC292:AE292"/>
    <mergeCell ref="C292:C293"/>
    <mergeCell ref="D292:D293"/>
    <mergeCell ref="E292:G292"/>
    <mergeCell ref="H292:J292"/>
    <mergeCell ref="K292:M292"/>
    <mergeCell ref="N292:P292"/>
    <mergeCell ref="N287:P287"/>
    <mergeCell ref="Q287:S287"/>
    <mergeCell ref="T287:V287"/>
    <mergeCell ref="W287:Y287"/>
    <mergeCell ref="Z287:AB287"/>
    <mergeCell ref="AC287:AE287"/>
    <mergeCell ref="Q282:S282"/>
    <mergeCell ref="T282:V282"/>
    <mergeCell ref="W282:Y282"/>
    <mergeCell ref="Z282:AB282"/>
    <mergeCell ref="AC282:AE282"/>
    <mergeCell ref="C287:C288"/>
    <mergeCell ref="D287:D288"/>
    <mergeCell ref="E287:G287"/>
    <mergeCell ref="H287:J287"/>
    <mergeCell ref="K287:M287"/>
    <mergeCell ref="C282:C283"/>
    <mergeCell ref="D282:D283"/>
    <mergeCell ref="E282:G282"/>
    <mergeCell ref="H282:J282"/>
    <mergeCell ref="K282:M282"/>
    <mergeCell ref="N282:P282"/>
    <mergeCell ref="N277:P277"/>
    <mergeCell ref="Q277:S277"/>
    <mergeCell ref="T277:V277"/>
    <mergeCell ref="W277:Y277"/>
    <mergeCell ref="Z277:AB277"/>
    <mergeCell ref="AC277:AE277"/>
    <mergeCell ref="Q272:S272"/>
    <mergeCell ref="T272:V272"/>
    <mergeCell ref="W272:Y272"/>
    <mergeCell ref="Z272:AB272"/>
    <mergeCell ref="AC272:AE272"/>
    <mergeCell ref="C277:C278"/>
    <mergeCell ref="D277:D278"/>
    <mergeCell ref="E277:G277"/>
    <mergeCell ref="H277:J277"/>
    <mergeCell ref="K277:M277"/>
    <mergeCell ref="C272:C273"/>
    <mergeCell ref="D272:D273"/>
    <mergeCell ref="E272:G272"/>
    <mergeCell ref="H272:J272"/>
    <mergeCell ref="K272:M272"/>
    <mergeCell ref="N272:P272"/>
    <mergeCell ref="N267:P267"/>
    <mergeCell ref="Q267:S267"/>
    <mergeCell ref="T267:V267"/>
    <mergeCell ref="W267:Y267"/>
    <mergeCell ref="Z267:AB267"/>
    <mergeCell ref="AC267:AE267"/>
    <mergeCell ref="Q262:S262"/>
    <mergeCell ref="T262:V262"/>
    <mergeCell ref="W262:Y262"/>
    <mergeCell ref="Z262:AB262"/>
    <mergeCell ref="AC262:AE262"/>
    <mergeCell ref="C267:C268"/>
    <mergeCell ref="D267:D268"/>
    <mergeCell ref="E267:G267"/>
    <mergeCell ref="H267:J267"/>
    <mergeCell ref="K267:M267"/>
    <mergeCell ref="C262:C263"/>
    <mergeCell ref="D262:D263"/>
    <mergeCell ref="E262:G262"/>
    <mergeCell ref="H262:J262"/>
    <mergeCell ref="K262:M262"/>
    <mergeCell ref="N262:P262"/>
    <mergeCell ref="N257:P257"/>
    <mergeCell ref="Q257:S257"/>
    <mergeCell ref="T257:V257"/>
    <mergeCell ref="W257:Y257"/>
    <mergeCell ref="Z257:AB257"/>
    <mergeCell ref="AC257:AE257"/>
    <mergeCell ref="Q252:S252"/>
    <mergeCell ref="T252:V252"/>
    <mergeCell ref="W252:Y252"/>
    <mergeCell ref="Z252:AB252"/>
    <mergeCell ref="AC252:AE252"/>
    <mergeCell ref="C257:C258"/>
    <mergeCell ref="D257:D258"/>
    <mergeCell ref="E257:G257"/>
    <mergeCell ref="H257:J257"/>
    <mergeCell ref="K257:M257"/>
    <mergeCell ref="C252:C253"/>
    <mergeCell ref="D252:D253"/>
    <mergeCell ref="E252:G252"/>
    <mergeCell ref="H252:J252"/>
    <mergeCell ref="K252:M252"/>
    <mergeCell ref="N252:P252"/>
    <mergeCell ref="N247:P247"/>
    <mergeCell ref="Q247:S247"/>
    <mergeCell ref="T247:V247"/>
    <mergeCell ref="W247:Y247"/>
    <mergeCell ref="Z247:AB247"/>
    <mergeCell ref="AC247:AE247"/>
    <mergeCell ref="Q242:S242"/>
    <mergeCell ref="T242:V242"/>
    <mergeCell ref="W242:Y242"/>
    <mergeCell ref="Z242:AB242"/>
    <mergeCell ref="AC242:AE242"/>
    <mergeCell ref="C247:C248"/>
    <mergeCell ref="D247:D248"/>
    <mergeCell ref="E247:G247"/>
    <mergeCell ref="H247:J247"/>
    <mergeCell ref="K247:M247"/>
    <mergeCell ref="C242:C243"/>
    <mergeCell ref="D242:D243"/>
    <mergeCell ref="E242:G242"/>
    <mergeCell ref="H242:J242"/>
    <mergeCell ref="K242:M242"/>
    <mergeCell ref="N242:P242"/>
    <mergeCell ref="N237:P237"/>
    <mergeCell ref="Q237:S237"/>
    <mergeCell ref="T237:V237"/>
    <mergeCell ref="W237:Y237"/>
    <mergeCell ref="Z237:AB237"/>
    <mergeCell ref="AC237:AE237"/>
    <mergeCell ref="Q232:S232"/>
    <mergeCell ref="T232:V232"/>
    <mergeCell ref="W232:Y232"/>
    <mergeCell ref="Z232:AB232"/>
    <mergeCell ref="AC232:AE232"/>
    <mergeCell ref="C237:C238"/>
    <mergeCell ref="D237:D238"/>
    <mergeCell ref="E237:G237"/>
    <mergeCell ref="H237:J237"/>
    <mergeCell ref="K237:M237"/>
    <mergeCell ref="C232:C233"/>
    <mergeCell ref="D232:D233"/>
    <mergeCell ref="E232:G232"/>
    <mergeCell ref="H232:J232"/>
    <mergeCell ref="K232:M232"/>
    <mergeCell ref="N232:P232"/>
    <mergeCell ref="N227:P227"/>
    <mergeCell ref="Q227:S227"/>
    <mergeCell ref="T227:V227"/>
    <mergeCell ref="W227:Y227"/>
    <mergeCell ref="Z227:AB227"/>
    <mergeCell ref="AC227:AE227"/>
    <mergeCell ref="Q222:S222"/>
    <mergeCell ref="T222:V222"/>
    <mergeCell ref="W222:Y222"/>
    <mergeCell ref="Z222:AB222"/>
    <mergeCell ref="AC222:AE222"/>
    <mergeCell ref="C227:C228"/>
    <mergeCell ref="D227:D228"/>
    <mergeCell ref="E227:G227"/>
    <mergeCell ref="H227:J227"/>
    <mergeCell ref="K227:M227"/>
    <mergeCell ref="C222:C223"/>
    <mergeCell ref="D222:D223"/>
    <mergeCell ref="E222:G222"/>
    <mergeCell ref="H222:J222"/>
    <mergeCell ref="K222:M222"/>
    <mergeCell ref="N222:P222"/>
    <mergeCell ref="N217:P217"/>
    <mergeCell ref="Q217:S217"/>
    <mergeCell ref="T217:V217"/>
    <mergeCell ref="W217:Y217"/>
    <mergeCell ref="Z217:AB217"/>
    <mergeCell ref="AC217:AE217"/>
    <mergeCell ref="Q212:S212"/>
    <mergeCell ref="T212:V212"/>
    <mergeCell ref="W212:Y212"/>
    <mergeCell ref="Z212:AB212"/>
    <mergeCell ref="AC212:AE212"/>
    <mergeCell ref="C217:C218"/>
    <mergeCell ref="D217:D218"/>
    <mergeCell ref="E217:G217"/>
    <mergeCell ref="H217:J217"/>
    <mergeCell ref="K217:M217"/>
    <mergeCell ref="C212:C213"/>
    <mergeCell ref="D212:D213"/>
    <mergeCell ref="E212:G212"/>
    <mergeCell ref="H212:J212"/>
    <mergeCell ref="K212:M212"/>
    <mergeCell ref="N212:P212"/>
    <mergeCell ref="N207:P207"/>
    <mergeCell ref="Q207:S207"/>
    <mergeCell ref="T207:V207"/>
    <mergeCell ref="W207:Y207"/>
    <mergeCell ref="Z207:AB207"/>
    <mergeCell ref="AC207:AE207"/>
    <mergeCell ref="Q202:S202"/>
    <mergeCell ref="T202:V202"/>
    <mergeCell ref="W202:Y202"/>
    <mergeCell ref="Z202:AB202"/>
    <mergeCell ref="AC202:AE202"/>
    <mergeCell ref="C207:C208"/>
    <mergeCell ref="D207:D208"/>
    <mergeCell ref="E207:G207"/>
    <mergeCell ref="H207:J207"/>
    <mergeCell ref="K207:M207"/>
    <mergeCell ref="C202:C203"/>
    <mergeCell ref="D202:D203"/>
    <mergeCell ref="E202:G202"/>
    <mergeCell ref="H202:J202"/>
    <mergeCell ref="K202:M202"/>
    <mergeCell ref="N202:P202"/>
    <mergeCell ref="N197:P197"/>
    <mergeCell ref="Q197:S197"/>
    <mergeCell ref="T197:V197"/>
    <mergeCell ref="W197:Y197"/>
    <mergeCell ref="Z197:AB197"/>
    <mergeCell ref="AC197:AE197"/>
    <mergeCell ref="Q192:S192"/>
    <mergeCell ref="T192:V192"/>
    <mergeCell ref="W192:Y192"/>
    <mergeCell ref="Z192:AB192"/>
    <mergeCell ref="AC192:AE192"/>
    <mergeCell ref="C197:C198"/>
    <mergeCell ref="D197:D198"/>
    <mergeCell ref="E197:G197"/>
    <mergeCell ref="H197:J197"/>
    <mergeCell ref="K197:M197"/>
    <mergeCell ref="C192:C193"/>
    <mergeCell ref="D192:D193"/>
    <mergeCell ref="E192:G192"/>
    <mergeCell ref="H192:J192"/>
    <mergeCell ref="K192:M192"/>
    <mergeCell ref="N192:P192"/>
    <mergeCell ref="N187:P187"/>
    <mergeCell ref="Q187:S187"/>
    <mergeCell ref="T187:V187"/>
    <mergeCell ref="W187:Y187"/>
    <mergeCell ref="Z187:AB187"/>
    <mergeCell ref="AC187:AE187"/>
    <mergeCell ref="Q182:S182"/>
    <mergeCell ref="T182:V182"/>
    <mergeCell ref="W182:Y182"/>
    <mergeCell ref="Z182:AB182"/>
    <mergeCell ref="AC182:AE182"/>
    <mergeCell ref="C187:C188"/>
    <mergeCell ref="D187:D188"/>
    <mergeCell ref="E187:G187"/>
    <mergeCell ref="H187:J187"/>
    <mergeCell ref="K187:M187"/>
    <mergeCell ref="C182:C183"/>
    <mergeCell ref="D182:D183"/>
    <mergeCell ref="E182:G182"/>
    <mergeCell ref="H182:J182"/>
    <mergeCell ref="K182:M182"/>
    <mergeCell ref="N182:P182"/>
    <mergeCell ref="N177:P177"/>
    <mergeCell ref="Q177:S177"/>
    <mergeCell ref="T177:V177"/>
    <mergeCell ref="W177:Y177"/>
    <mergeCell ref="Z177:AB177"/>
    <mergeCell ref="AC177:AE177"/>
    <mergeCell ref="Q172:S172"/>
    <mergeCell ref="T172:V172"/>
    <mergeCell ref="W172:Y172"/>
    <mergeCell ref="Z172:AB172"/>
    <mergeCell ref="AC172:AE172"/>
    <mergeCell ref="C177:C178"/>
    <mergeCell ref="D177:D178"/>
    <mergeCell ref="E177:G177"/>
    <mergeCell ref="H177:J177"/>
    <mergeCell ref="K177:M177"/>
    <mergeCell ref="C172:C173"/>
    <mergeCell ref="D172:D173"/>
    <mergeCell ref="E172:G172"/>
    <mergeCell ref="H172:J172"/>
    <mergeCell ref="K172:M172"/>
    <mergeCell ref="N172:P172"/>
    <mergeCell ref="N167:P167"/>
    <mergeCell ref="Q167:S167"/>
    <mergeCell ref="T167:V167"/>
    <mergeCell ref="W167:Y167"/>
    <mergeCell ref="Z167:AB167"/>
    <mergeCell ref="AC167:AE167"/>
    <mergeCell ref="Q162:S162"/>
    <mergeCell ref="T162:V162"/>
    <mergeCell ref="W162:Y162"/>
    <mergeCell ref="Z162:AB162"/>
    <mergeCell ref="AC162:AE162"/>
    <mergeCell ref="C167:C168"/>
    <mergeCell ref="D167:D168"/>
    <mergeCell ref="E167:G167"/>
    <mergeCell ref="H167:J167"/>
    <mergeCell ref="K167:M167"/>
    <mergeCell ref="C162:C163"/>
    <mergeCell ref="D162:D163"/>
    <mergeCell ref="E162:G162"/>
    <mergeCell ref="H162:J162"/>
    <mergeCell ref="K162:M162"/>
    <mergeCell ref="N162:P162"/>
    <mergeCell ref="N157:P157"/>
    <mergeCell ref="Q157:S157"/>
    <mergeCell ref="T157:V157"/>
    <mergeCell ref="W157:Y157"/>
    <mergeCell ref="Z157:AB157"/>
    <mergeCell ref="AC157:AE157"/>
    <mergeCell ref="Q152:S152"/>
    <mergeCell ref="T152:V152"/>
    <mergeCell ref="W152:Y152"/>
    <mergeCell ref="Z152:AB152"/>
    <mergeCell ref="AC152:AE152"/>
    <mergeCell ref="C157:C158"/>
    <mergeCell ref="D157:D158"/>
    <mergeCell ref="E157:G157"/>
    <mergeCell ref="H157:J157"/>
    <mergeCell ref="K157:M157"/>
    <mergeCell ref="C152:C153"/>
    <mergeCell ref="D152:D153"/>
    <mergeCell ref="E152:G152"/>
    <mergeCell ref="H152:J152"/>
    <mergeCell ref="K152:M152"/>
    <mergeCell ref="N152:P152"/>
    <mergeCell ref="N147:P147"/>
    <mergeCell ref="Q147:S147"/>
    <mergeCell ref="T147:V147"/>
    <mergeCell ref="W147:Y147"/>
    <mergeCell ref="Z147:AB147"/>
    <mergeCell ref="AC147:AE147"/>
    <mergeCell ref="Q142:S142"/>
    <mergeCell ref="T142:V142"/>
    <mergeCell ref="W142:Y142"/>
    <mergeCell ref="Z142:AB142"/>
    <mergeCell ref="AC142:AE142"/>
    <mergeCell ref="C147:C148"/>
    <mergeCell ref="D147:D148"/>
    <mergeCell ref="E147:G147"/>
    <mergeCell ref="H147:J147"/>
    <mergeCell ref="K147:M147"/>
    <mergeCell ref="C142:C143"/>
    <mergeCell ref="D142:D143"/>
    <mergeCell ref="E142:G142"/>
    <mergeCell ref="H142:J142"/>
    <mergeCell ref="K142:M142"/>
    <mergeCell ref="N142:P142"/>
    <mergeCell ref="N137:P137"/>
    <mergeCell ref="Q137:S137"/>
    <mergeCell ref="T137:V137"/>
    <mergeCell ref="W137:Y137"/>
    <mergeCell ref="Z137:AB137"/>
    <mergeCell ref="AC137:AE137"/>
    <mergeCell ref="Q132:S132"/>
    <mergeCell ref="T132:V132"/>
    <mergeCell ref="W132:Y132"/>
    <mergeCell ref="Z132:AB132"/>
    <mergeCell ref="AC132:AE132"/>
    <mergeCell ref="C137:C138"/>
    <mergeCell ref="D137:D138"/>
    <mergeCell ref="E137:G137"/>
    <mergeCell ref="H137:J137"/>
    <mergeCell ref="K137:M137"/>
    <mergeCell ref="C132:C133"/>
    <mergeCell ref="D132:D133"/>
    <mergeCell ref="E132:G132"/>
    <mergeCell ref="H132:J132"/>
    <mergeCell ref="K132:M132"/>
    <mergeCell ref="N132:P132"/>
    <mergeCell ref="N127:P127"/>
    <mergeCell ref="Q127:S127"/>
    <mergeCell ref="T127:V127"/>
    <mergeCell ref="W127:Y127"/>
    <mergeCell ref="Z127:AB127"/>
    <mergeCell ref="AC127:AE127"/>
    <mergeCell ref="Q122:S122"/>
    <mergeCell ref="T122:V122"/>
    <mergeCell ref="W122:Y122"/>
    <mergeCell ref="Z122:AB122"/>
    <mergeCell ref="AC122:AE122"/>
    <mergeCell ref="C127:C128"/>
    <mergeCell ref="D127:D128"/>
    <mergeCell ref="E127:G127"/>
    <mergeCell ref="H127:J127"/>
    <mergeCell ref="K127:M127"/>
    <mergeCell ref="C122:C123"/>
    <mergeCell ref="D122:D123"/>
    <mergeCell ref="E122:G122"/>
    <mergeCell ref="H122:J122"/>
    <mergeCell ref="K122:M122"/>
    <mergeCell ref="N122:P122"/>
    <mergeCell ref="N117:P117"/>
    <mergeCell ref="Q117:S117"/>
    <mergeCell ref="T117:V117"/>
    <mergeCell ref="W117:Y117"/>
    <mergeCell ref="Z117:AB117"/>
    <mergeCell ref="AC117:AE117"/>
    <mergeCell ref="Q112:S112"/>
    <mergeCell ref="T112:V112"/>
    <mergeCell ref="W112:Y112"/>
    <mergeCell ref="Z112:AB112"/>
    <mergeCell ref="AC112:AE112"/>
    <mergeCell ref="C117:C118"/>
    <mergeCell ref="D117:D118"/>
    <mergeCell ref="E117:G117"/>
    <mergeCell ref="H117:J117"/>
    <mergeCell ref="K117:M117"/>
    <mergeCell ref="C112:C113"/>
    <mergeCell ref="D112:D113"/>
    <mergeCell ref="E112:G112"/>
    <mergeCell ref="H112:J112"/>
    <mergeCell ref="K112:M112"/>
    <mergeCell ref="N112:P112"/>
    <mergeCell ref="N107:P107"/>
    <mergeCell ref="Q107:S107"/>
    <mergeCell ref="T107:V107"/>
    <mergeCell ref="W107:Y107"/>
    <mergeCell ref="Z107:AB107"/>
    <mergeCell ref="AC107:AE107"/>
    <mergeCell ref="Q102:S102"/>
    <mergeCell ref="T102:V102"/>
    <mergeCell ref="W102:Y102"/>
    <mergeCell ref="Z102:AB102"/>
    <mergeCell ref="AC102:AE102"/>
    <mergeCell ref="C107:C108"/>
    <mergeCell ref="D107:D108"/>
    <mergeCell ref="E107:G107"/>
    <mergeCell ref="H107:J107"/>
    <mergeCell ref="K107:M107"/>
    <mergeCell ref="C102:C103"/>
    <mergeCell ref="D102:D103"/>
    <mergeCell ref="E102:G102"/>
    <mergeCell ref="H102:J102"/>
    <mergeCell ref="K102:M102"/>
    <mergeCell ref="N102:P102"/>
    <mergeCell ref="N97:P97"/>
    <mergeCell ref="Q97:S97"/>
    <mergeCell ref="T97:V97"/>
    <mergeCell ref="W97:Y97"/>
    <mergeCell ref="Z97:AB97"/>
    <mergeCell ref="AC97:AE97"/>
    <mergeCell ref="Q92:S92"/>
    <mergeCell ref="T92:V92"/>
    <mergeCell ref="W92:Y92"/>
    <mergeCell ref="Z92:AB92"/>
    <mergeCell ref="AC92:AE92"/>
    <mergeCell ref="C97:C98"/>
    <mergeCell ref="D97:D98"/>
    <mergeCell ref="E97:G97"/>
    <mergeCell ref="H97:J97"/>
    <mergeCell ref="K97:M97"/>
    <mergeCell ref="C92:C93"/>
    <mergeCell ref="D92:D93"/>
    <mergeCell ref="E92:G92"/>
    <mergeCell ref="H92:J92"/>
    <mergeCell ref="K92:M92"/>
    <mergeCell ref="N92:P92"/>
    <mergeCell ref="N87:P87"/>
    <mergeCell ref="Q87:S87"/>
    <mergeCell ref="T87:V87"/>
    <mergeCell ref="W87:Y87"/>
    <mergeCell ref="Z87:AB87"/>
    <mergeCell ref="AC87:AE87"/>
    <mergeCell ref="Q82:S82"/>
    <mergeCell ref="T82:V82"/>
    <mergeCell ref="W82:Y82"/>
    <mergeCell ref="Z82:AB82"/>
    <mergeCell ref="AC82:AE82"/>
    <mergeCell ref="C87:C88"/>
    <mergeCell ref="D87:D88"/>
    <mergeCell ref="E87:G87"/>
    <mergeCell ref="H87:J87"/>
    <mergeCell ref="K87:M87"/>
    <mergeCell ref="C82:C83"/>
    <mergeCell ref="D82:D83"/>
    <mergeCell ref="E82:G82"/>
    <mergeCell ref="H82:J82"/>
    <mergeCell ref="K82:M82"/>
    <mergeCell ref="N82:P82"/>
    <mergeCell ref="N77:P77"/>
    <mergeCell ref="Q77:S77"/>
    <mergeCell ref="T77:V77"/>
    <mergeCell ref="W77:Y77"/>
    <mergeCell ref="Z77:AB77"/>
    <mergeCell ref="AC77:AE77"/>
    <mergeCell ref="Q72:S72"/>
    <mergeCell ref="T72:V72"/>
    <mergeCell ref="W72:Y72"/>
    <mergeCell ref="Z72:AB72"/>
    <mergeCell ref="AC72:AE72"/>
    <mergeCell ref="C77:C78"/>
    <mergeCell ref="D77:D78"/>
    <mergeCell ref="E77:G77"/>
    <mergeCell ref="H77:J77"/>
    <mergeCell ref="K77:M77"/>
    <mergeCell ref="C72:C73"/>
    <mergeCell ref="D72:D73"/>
    <mergeCell ref="E72:G72"/>
    <mergeCell ref="H72:J72"/>
    <mergeCell ref="K72:M72"/>
    <mergeCell ref="N72:P72"/>
    <mergeCell ref="N67:P67"/>
    <mergeCell ref="Q67:S67"/>
    <mergeCell ref="T67:V67"/>
    <mergeCell ref="W67:Y67"/>
    <mergeCell ref="Z67:AB67"/>
    <mergeCell ref="AC67:AE67"/>
    <mergeCell ref="Q62:S62"/>
    <mergeCell ref="T62:V62"/>
    <mergeCell ref="W62:Y62"/>
    <mergeCell ref="Z62:AB62"/>
    <mergeCell ref="AC62:AE62"/>
    <mergeCell ref="C67:C68"/>
    <mergeCell ref="D67:D68"/>
    <mergeCell ref="E67:G67"/>
    <mergeCell ref="H67:J67"/>
    <mergeCell ref="K67:M67"/>
    <mergeCell ref="C62:C63"/>
    <mergeCell ref="D62:D63"/>
    <mergeCell ref="E62:G62"/>
    <mergeCell ref="H62:J62"/>
    <mergeCell ref="K62:M62"/>
    <mergeCell ref="N62:P62"/>
    <mergeCell ref="N57:P57"/>
    <mergeCell ref="Q57:S57"/>
    <mergeCell ref="T57:V57"/>
    <mergeCell ref="W57:Y57"/>
    <mergeCell ref="Z57:AB57"/>
    <mergeCell ref="AC57:AE57"/>
    <mergeCell ref="Q52:S52"/>
    <mergeCell ref="T52:V52"/>
    <mergeCell ref="W52:Y52"/>
    <mergeCell ref="Z52:AB52"/>
    <mergeCell ref="AC52:AE52"/>
    <mergeCell ref="C57:C58"/>
    <mergeCell ref="D57:D58"/>
    <mergeCell ref="E57:G57"/>
    <mergeCell ref="H57:J57"/>
    <mergeCell ref="K57:M57"/>
    <mergeCell ref="C52:C53"/>
    <mergeCell ref="D52:D53"/>
    <mergeCell ref="E52:G52"/>
    <mergeCell ref="H52:J52"/>
    <mergeCell ref="K52:M52"/>
    <mergeCell ref="N52:P52"/>
    <mergeCell ref="N47:P47"/>
    <mergeCell ref="Q47:S47"/>
    <mergeCell ref="T47:V47"/>
    <mergeCell ref="W47:Y47"/>
    <mergeCell ref="Z47:AB47"/>
    <mergeCell ref="AC47:AE47"/>
    <mergeCell ref="Q42:S42"/>
    <mergeCell ref="T42:V42"/>
    <mergeCell ref="W42:Y42"/>
    <mergeCell ref="Z42:AB42"/>
    <mergeCell ref="AC42:AE42"/>
    <mergeCell ref="C47:C48"/>
    <mergeCell ref="D47:D48"/>
    <mergeCell ref="E47:G47"/>
    <mergeCell ref="H47:J47"/>
    <mergeCell ref="K47:M47"/>
    <mergeCell ref="C42:C43"/>
    <mergeCell ref="D42:D43"/>
    <mergeCell ref="E42:G42"/>
    <mergeCell ref="H42:J42"/>
    <mergeCell ref="K42:M42"/>
    <mergeCell ref="N42:P42"/>
    <mergeCell ref="N37:P37"/>
    <mergeCell ref="Q37:S37"/>
    <mergeCell ref="T37:V37"/>
    <mergeCell ref="W37:Y37"/>
    <mergeCell ref="Z37:AB37"/>
    <mergeCell ref="AC37:AE37"/>
    <mergeCell ref="Q32:S32"/>
    <mergeCell ref="T32:V32"/>
    <mergeCell ref="W32:Y32"/>
    <mergeCell ref="Z32:AB32"/>
    <mergeCell ref="AC32:AE32"/>
    <mergeCell ref="C37:C38"/>
    <mergeCell ref="D37:D38"/>
    <mergeCell ref="E37:G37"/>
    <mergeCell ref="H37:J37"/>
    <mergeCell ref="K37:M37"/>
    <mergeCell ref="C32:C33"/>
    <mergeCell ref="D32:D33"/>
    <mergeCell ref="E32:G32"/>
    <mergeCell ref="H32:J32"/>
    <mergeCell ref="K32:M32"/>
    <mergeCell ref="N32:P32"/>
    <mergeCell ref="N27:P27"/>
    <mergeCell ref="Q27:S27"/>
    <mergeCell ref="T27:V27"/>
    <mergeCell ref="W27:Y27"/>
    <mergeCell ref="Z27:AB27"/>
    <mergeCell ref="AC27:AE27"/>
    <mergeCell ref="Q22:S22"/>
    <mergeCell ref="T22:V22"/>
    <mergeCell ref="W22:Y22"/>
    <mergeCell ref="Z22:AB22"/>
    <mergeCell ref="AC22:AE22"/>
    <mergeCell ref="C27:C28"/>
    <mergeCell ref="D27:D28"/>
    <mergeCell ref="E27:G27"/>
    <mergeCell ref="H27:J27"/>
    <mergeCell ref="K27:M27"/>
    <mergeCell ref="C22:C23"/>
    <mergeCell ref="D22:D23"/>
    <mergeCell ref="E22:G22"/>
    <mergeCell ref="H22:J22"/>
    <mergeCell ref="K22:M22"/>
    <mergeCell ref="N22:P22"/>
    <mergeCell ref="N17:P17"/>
    <mergeCell ref="Q17:S17"/>
    <mergeCell ref="T17:V17"/>
    <mergeCell ref="W17:Y17"/>
    <mergeCell ref="Z17:AB17"/>
    <mergeCell ref="AC17:AE17"/>
    <mergeCell ref="Q12:S12"/>
    <mergeCell ref="T12:V12"/>
    <mergeCell ref="W12:Y12"/>
    <mergeCell ref="Z12:AB12"/>
    <mergeCell ref="AC12:AE12"/>
    <mergeCell ref="C17:C18"/>
    <mergeCell ref="D17:D18"/>
    <mergeCell ref="E17:G17"/>
    <mergeCell ref="H17:J17"/>
    <mergeCell ref="K17:M17"/>
    <mergeCell ref="C12:C13"/>
    <mergeCell ref="D12:D13"/>
    <mergeCell ref="E12:G12"/>
    <mergeCell ref="H12:J12"/>
    <mergeCell ref="K12:M12"/>
    <mergeCell ref="N12:P12"/>
    <mergeCell ref="N7:P7"/>
    <mergeCell ref="Q7:S7"/>
    <mergeCell ref="T7:V7"/>
    <mergeCell ref="W7:Y7"/>
    <mergeCell ref="Z7:AB7"/>
    <mergeCell ref="AC7:AE7"/>
    <mergeCell ref="Q2:S2"/>
    <mergeCell ref="T2:V2"/>
    <mergeCell ref="W2:Y2"/>
    <mergeCell ref="Z2:AB2"/>
    <mergeCell ref="AC2:AE2"/>
    <mergeCell ref="C7:C8"/>
    <mergeCell ref="D7:D8"/>
    <mergeCell ref="E7:G7"/>
    <mergeCell ref="H7:J7"/>
    <mergeCell ref="K7:M7"/>
    <mergeCell ref="C2:C3"/>
    <mergeCell ref="D2:D3"/>
    <mergeCell ref="E2:G2"/>
    <mergeCell ref="H2:J2"/>
    <mergeCell ref="K2:M2"/>
    <mergeCell ref="N2:P2"/>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命名范围</vt:lpstr>
      </vt:variant>
      <vt:variant>
        <vt:i4>1</vt:i4>
      </vt:variant>
    </vt:vector>
  </HeadingPairs>
  <TitlesOfParts>
    <vt:vector size="5" baseType="lpstr">
      <vt:lpstr>导入数据</vt:lpstr>
      <vt:lpstr>控制面板</vt:lpstr>
      <vt:lpstr>缓存</vt:lpstr>
      <vt:lpstr>成绩条</vt:lpstr>
      <vt:lpstr>成绩条!Print_Area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欧纪阳</dc:creator>
  <cp:lastModifiedBy>欧纪阳</cp:lastModifiedBy>
  <cp:lastPrinted>2020-06-11T14:24:46Z</cp:lastPrinted>
  <dcterms:created xsi:type="dcterms:W3CDTF">2020-06-11T11:16:44Z</dcterms:created>
  <dcterms:modified xsi:type="dcterms:W3CDTF">2020-08-04T03:42:06Z</dcterms:modified>
</cp:coreProperties>
</file>