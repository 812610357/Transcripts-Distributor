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6" codeName="{662AC1DA-710E-409A-AF98-282AFDE22985}"/>
  <workbookPr codeName="ThisWorkbook" defaultThemeVersion="166925"/>
  <mc:AlternateContent xmlns:mc="http://schemas.openxmlformats.org/markup-compatibility/2006">
    <mc:Choice Requires="x15">
      <x15ac:absPath xmlns:x15ac="http://schemas.microsoft.com/office/spreadsheetml/2010/11/ac" url="D:\WORK\GitHub\Transcripts-Distributor\v4.1\"/>
    </mc:Choice>
  </mc:AlternateContent>
  <xr:revisionPtr revIDLastSave="0" documentId="13_ncr:1_{A02E6721-F7A6-4B3D-BA4C-C4722CE510A3}" xr6:coauthVersionLast="45" xr6:coauthVersionMax="45" xr10:uidLastSave="{00000000-0000-0000-0000-000000000000}"/>
  <bookViews>
    <workbookView xWindow="-96" yWindow="-96" windowWidth="23232" windowHeight="12552" activeTab="1" xr2:uid="{93B60B92-88B5-4069-B646-A36B28750028}"/>
  </bookViews>
  <sheets>
    <sheet name="导入数据" sheetId="1" r:id="rId1"/>
    <sheet name="控制面板" sheetId="3" r:id="rId2"/>
    <sheet name="缓存" sheetId="6" r:id="rId3"/>
    <sheet name="成绩条" sheetId="30" r:id="rId4"/>
  </sheets>
  <definedNames>
    <definedName name="_xlnm.Print_Area" localSheetId="3">成绩条!#REF!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 l="1"/>
  <c r="C10" i="3" a="1"/>
  <c r="C10"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<sst xmlns="http://schemas.openxmlformats.org/spreadsheetml/2006/main" count="105" uniqueCount="83">
  <si>
    <t>学号</t>
  </si>
  <si>
    <t>语文</t>
  </si>
  <si>
    <t>数学</t>
  </si>
  <si>
    <t>英语</t>
  </si>
  <si>
    <t>物理</t>
  </si>
  <si>
    <t>化学</t>
  </si>
  <si>
    <t>生物</t>
  </si>
  <si>
    <t>三主科</t>
  </si>
  <si>
    <t>理综</t>
  </si>
  <si>
    <t>成绩</t>
    <phoneticPr fontId="1" type="noConversion"/>
  </si>
  <si>
    <t>班排</t>
    <phoneticPr fontId="1" type="noConversion"/>
  </si>
  <si>
    <t>年排</t>
    <phoneticPr fontId="1" type="noConversion"/>
  </si>
  <si>
    <t>总分</t>
    <phoneticPr fontId="2" type="noConversion"/>
  </si>
  <si>
    <t>班排</t>
    <phoneticPr fontId="2" type="noConversion"/>
  </si>
  <si>
    <t>学生1</t>
    <phoneticPr fontId="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</si>
  <si>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</si>
  <si>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</si>
  <si>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</si>
  <si>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</si>
  <si>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</si>
  <si>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</si>
  <si>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</si>
  <si>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</si>
  <si>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</si>
  <si>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</si>
  <si>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</si>
  <si>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</si>
  <si>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</si>
  <si>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</si>
  <si>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</si>
  <si>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</si>
  <si>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</si>
  <si>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</si>
  <si>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</si>
  <si>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</si>
  <si>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</si>
  <si>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</si>
  <si>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</si>
  <si>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</si>
  <si>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</si>
  <si>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</si>
  <si>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</si>
  <si>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</si>
  <si>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学生30</t>
  </si>
  <si>
    <t>学生31</t>
  </si>
  <si>
    <t>学生32</t>
  </si>
  <si>
    <t>学生33</t>
  </si>
  <si>
    <t>学生34</t>
  </si>
  <si>
    <t>学生35</t>
  </si>
  <si>
    <t>学生36</t>
  </si>
  <si>
    <t>学生37</t>
  </si>
  <si>
    <t>学生38</t>
  </si>
  <si>
    <t>学生39</t>
  </si>
  <si>
    <t>学生40</t>
  </si>
  <si>
    <t>学生41</t>
  </si>
  <si>
    <t>学生42</t>
  </si>
  <si>
    <t>学生43</t>
  </si>
  <si>
    <t>学生44</t>
  </si>
  <si>
    <t>学生45</t>
  </si>
  <si>
    <t>学生46</t>
  </si>
  <si>
    <t>学生47</t>
  </si>
  <si>
    <t>学生48</t>
  </si>
  <si>
    <t>学生49</t>
  </si>
  <si>
    <t>学生50</t>
  </si>
  <si>
    <t>学生51</t>
  </si>
  <si>
    <t>学生52</t>
  </si>
  <si>
    <t>学生53</t>
  </si>
  <si>
    <t>学生54</t>
  </si>
  <si>
    <t>学生55</t>
  </si>
  <si>
    <t>学生56</t>
  </si>
  <si>
    <t>学生57</t>
  </si>
  <si>
    <t>学生58</t>
  </si>
  <si>
    <t>学生59</t>
  </si>
  <si>
    <t>姓名</t>
    <phoneticPr fontId="1" type="noConversion"/>
  </si>
  <si>
    <t>表头行数</t>
    <phoneticPr fontId="1" type="noConversion"/>
  </si>
  <si>
    <t>总分</t>
    <phoneticPr fontId="1" type="noConversion"/>
  </si>
  <si>
    <t>行数</t>
    <phoneticPr fontId="1" type="noConversion"/>
  </si>
  <si>
    <t>表格检测</t>
    <phoneticPr fontId="1" type="noConversion"/>
  </si>
  <si>
    <t>列数</t>
    <phoneticPr fontId="1" type="noConversion"/>
  </si>
  <si>
    <t>内容检测</t>
    <phoneticPr fontId="1" type="noConversion"/>
  </si>
  <si>
    <t>数据行数</t>
    <phoneticPr fontId="1" type="noConversion"/>
  </si>
  <si>
    <t>写入次数</t>
    <phoneticPr fontId="1" type="noConversion"/>
  </si>
  <si>
    <r>
      <t>首次使用方法：
1.首次使用将学生成绩单导入到“导入数据”工作表中。
2.在“控制面板”工作表中的“表头行数”选项中填入刚刚导入表格的表头行数。系统会开始自动检测您导入的表格（系统可能会出现卡顿），请仔细</t>
    </r>
    <r>
      <rPr>
        <b/>
        <sz val="12"/>
        <color rgb="FFFF0000"/>
        <rFont val="等线"/>
        <family val="3"/>
        <charset val="134"/>
        <scheme val="minor"/>
      </rPr>
      <t>核对</t>
    </r>
    <r>
      <rPr>
        <sz val="12"/>
        <color theme="1"/>
        <rFont val="等线"/>
        <family val="3"/>
        <charset val="134"/>
        <scheme val="minor"/>
      </rPr>
      <t>“总行数”、“总列数”、“数据行数”（用总行数减去表头行数）是否正确，如果不正确，请手动手动输入。
3.如果制作单次成绩条，建议先点击</t>
    </r>
    <r>
      <rPr>
        <b/>
        <sz val="12"/>
        <color theme="4"/>
        <rFont val="等线"/>
        <family val="3"/>
        <charset val="134"/>
        <scheme val="minor"/>
      </rPr>
      <t>蓝色</t>
    </r>
    <r>
      <rPr>
        <sz val="12"/>
        <color theme="1"/>
        <rFont val="等线"/>
        <family val="3"/>
        <charset val="134"/>
        <scheme val="minor"/>
      </rPr>
      <t>按钮（系统可能会出现卡顿），以防止系统出现异常，再点击</t>
    </r>
    <r>
      <rPr>
        <b/>
        <sz val="12"/>
        <color theme="5"/>
        <rFont val="等线"/>
        <family val="3"/>
        <charset val="134"/>
        <scheme val="minor"/>
      </rPr>
      <t>橙色</t>
    </r>
    <r>
      <rPr>
        <sz val="12"/>
        <color theme="1"/>
        <rFont val="等线"/>
        <family val="3"/>
        <charset val="134"/>
        <scheme val="minor"/>
      </rPr>
      <t>按钮。
4.制作完成后系统会自动保存，您也可以把“成绩条”工作表进行备份，方便下次进行叠加。
多次叠加方法（表头必须相同）：
1.如果上一次制作的成绩条还保存在该工作表中，可在导入新数据之后，直接点击</t>
    </r>
    <r>
      <rPr>
        <b/>
        <sz val="12"/>
        <color theme="5"/>
        <rFont val="等线"/>
        <family val="3"/>
        <charset val="134"/>
        <scheme val="minor"/>
      </rPr>
      <t>橙色</t>
    </r>
    <r>
      <rPr>
        <sz val="12"/>
        <color theme="1"/>
        <rFont val="等线"/>
        <family val="3"/>
        <charset val="134"/>
        <scheme val="minor"/>
      </rPr>
      <t>按钮即可。
2.如果您把上一次制作的成绩条额外多出的话，请原封不动把整个工作表原封不动的放入该工作簿，并把该工作表命名为”成绩条“，导入新数据之后，点击</t>
    </r>
    <r>
      <rPr>
        <b/>
        <sz val="12"/>
        <color theme="5"/>
        <rFont val="等线"/>
        <family val="3"/>
        <charset val="134"/>
        <scheme val="minor"/>
      </rPr>
      <t>橙色</t>
    </r>
    <r>
      <rPr>
        <sz val="12"/>
        <color theme="1"/>
        <rFont val="等线"/>
        <family val="3"/>
        <charset val="134"/>
        <scheme val="minor"/>
      </rPr>
      <t>按钮即可。
温馨提示：
1.请使用Microsoft Office 2013及以上版本的电子表格程序打开此表格。
2.推荐使用订阅版的Microsoft office 365运行此表格。
3.任意版本的金山WPS软件或者其他公司出品的办公软件无法运行此程序，请您谅解。
4.在使用前请打开宏，你可以每次打开此表格后在工具栏下的“安全警告”中点击“启用内容”来打开宏，或者一次性在“文件”=&gt;“选项”=&gt;“信任中心”=&gt;"信任中心设置"=&gt;“宏设置”中把宏设置为启用。
异常处理：
1.您再次使用使用该程序导出单次成绩条时，如果因为表头行数与上一次相同，而不修改”表头行数“选项，在导入新数据后，请先点击</t>
    </r>
    <r>
      <rPr>
        <b/>
        <sz val="12"/>
        <color theme="4"/>
        <rFont val="等线"/>
        <family val="3"/>
        <charset val="134"/>
        <scheme val="minor"/>
      </rPr>
      <t>蓝色</t>
    </r>
    <r>
      <rPr>
        <sz val="12"/>
        <color theme="1"/>
        <rFont val="等线"/>
        <family val="3"/>
        <charset val="134"/>
        <scheme val="minor"/>
      </rPr>
      <t>按钮。
2.如果程序异常，请点击</t>
    </r>
    <r>
      <rPr>
        <b/>
        <sz val="12"/>
        <color theme="4"/>
        <rFont val="等线"/>
        <family val="3"/>
        <charset val="134"/>
        <scheme val="minor"/>
      </rPr>
      <t>蓝色</t>
    </r>
    <r>
      <rPr>
        <sz val="12"/>
        <color theme="1"/>
        <rFont val="等线"/>
        <family val="3"/>
        <charset val="134"/>
        <scheme val="minor"/>
      </rPr>
      <t>按钮重置系统。
额外说明：
1.导出的成绩条中，含有表头位置（位于A列），写入次数（位于B列）等标记，如果需要进行多次叠加，请</t>
    </r>
    <r>
      <rPr>
        <b/>
        <sz val="12"/>
        <color rgb="FFFF0000"/>
        <rFont val="等线"/>
        <family val="3"/>
        <charset val="134"/>
        <scheme val="minor"/>
      </rPr>
      <t>不要删除</t>
    </r>
    <r>
      <rPr>
        <sz val="12"/>
        <color theme="1"/>
        <rFont val="等线"/>
        <family val="3"/>
        <charset val="134"/>
        <scheme val="minor"/>
      </rPr>
      <t>这些标记，否则将导致程序异常。
2.一个工作表最多包含</t>
    </r>
    <r>
      <rPr>
        <b/>
        <sz val="12"/>
        <color rgb="FFFF0000"/>
        <rFont val="等线"/>
        <family val="3"/>
        <charset val="134"/>
        <scheme val="minor"/>
      </rPr>
      <t>1048576</t>
    </r>
    <r>
      <rPr>
        <sz val="12"/>
        <color theme="1"/>
        <rFont val="等线"/>
        <family val="3"/>
        <charset val="134"/>
        <scheme val="minor"/>
      </rPr>
      <t>行，最终导出的成绩条工作表行数=(表头行数+写入次数+1)×数据行数，请自行计算所需行数，以免发生</t>
    </r>
    <r>
      <rPr>
        <b/>
        <sz val="12"/>
        <color rgb="FFFF0000"/>
        <rFont val="等线"/>
        <family val="3"/>
        <charset val="134"/>
        <scheme val="minor"/>
      </rPr>
      <t>溢出</t>
    </r>
    <r>
      <rPr>
        <sz val="12"/>
        <color theme="1"/>
        <rFont val="等线"/>
        <family val="3"/>
        <charset val="134"/>
        <scheme val="minor"/>
      </rPr>
      <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</si>
</sst>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11" x14ac:knownFonts="1">
    <font>
      <sz val="11"/>
      <color theme="1"/>
      <name val="等线"/>
      <family val="2"/>
      <charset val="134"/>
      <scheme val="minor"/>
    </font>
    <font>
      <sz val="9"/>
      <name val="等线"/>
      <family val="2"/>
      <charset val="134"/>
      <scheme val="minor"/>
    </font>
    <font>
      <sz val="9"/>
      <name val="等线"/>
      <family val="3"/>
      <charset val="134"/>
      <scheme val="minor"/>
    </font>
    <font>
      <sz val="10"/>
      <color theme="1"/>
      <name val="等线"/>
      <family val="3"/>
      <charset val="134"/>
      <scheme val="minor"/>
    </font>
    <font>
      <sz val="10"/>
      <color theme="1"/>
      <name val="等线"/>
      <family val="3"/>
      <charset val="134"/>
    </font>
    <font>
      <b/>
      <sz val="10"/>
      <name val="等线"/>
      <family val="3"/>
      <charset val="134"/>
      <scheme val="minor"/>
    </font>
    <font>
      <b/>
      <sz val="10"/>
      <color theme="1"/>
      <name val="等线"/>
      <family val="3"/>
      <charset val="134"/>
      <scheme val="minor"/>
    </font>
    <font>
      <sz val="12"/>
      <color theme="1"/>
      <name val="等线"/>
      <family val="3"/>
      <charset val="134"/>
      <scheme val="minor"/>
    </font>
    <font>
      <b/>
      <sz val="12"/>
      <color rgb="FFFF0000"/>
      <name val="等线"/>
      <family val="3"/>
      <charset val="134"/>
      <scheme val="minor"/>
    </font>
    <font>
      <b/>
      <sz val="12"/>
      <color theme="5"/>
      <name val="等线"/>
      <family val="3"/>
      <charset val="134"/>
      <scheme val="minor"/>
    </font>
    <font>
      <b/>
      <sz val="12"/>
      <color theme="4"/>
      <name val="等线"/>
      <family val="3"/>
      <charset val="134"/>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7">
    <xf numFmtId="0" fontId="0" fillId="0" borderId="0" xfId="0">
      <alignment vertical="center"/>
    </xf>
    <xf numFmtId="0" fontId="3" fillId="0" borderId="0" xfId="0" applyFont="1">
      <alignment vertical="center"/>
    </xf>
    <xf numFmtId="0" fontId="4" fillId="0" borderId="1" xfId="0" applyFont="1" applyBorder="1" applyAlignment="1">
      <alignment horizontal="center" vertical="center"/>
    </xf>
    <xf numFmtId="177" fontId="4" fillId="0" borderId="1"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4" fillId="0" borderId="0" xfId="0" applyFont="1" applyAlignment="1">
      <alignment horizontal="center" vertical="center"/>
    </xf>
    <xf numFmtId="177" fontId="4" fillId="0" borderId="0" xfId="0" applyNumberFormat="1" applyFont="1" applyAlignment="1">
      <alignment horizontal="center" vertical="center"/>
    </xf>
    <xf numFmtId="176" fontId="4" fillId="0" borderId="0" xfId="0" applyNumberFormat="1" applyFont="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0" fontId="0" fillId="0" borderId="0" xfId="0"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49" fontId="5" fillId="0" borderId="1" xfId="0" applyNumberFormat="1" applyFont="1" applyBorder="1" applyAlignment="1">
      <alignment horizontal="center" vertical="center" wrapText="1"/>
    </xf>
    <xf numFmtId="177" fontId="5" fillId="0" borderId="1" xfId="0" applyNumberFormat="1" applyFont="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21</xdr:row>
      <xdr:rowOff>0</xdr:rowOff>
    </xdr:from>
    <xdr:to>
      <xdr:col>3</xdr:col>
      <xdr:colOff>0</xdr:colOff>
      <xdr:row>24</xdr:row>
      <xdr:rowOff>53340</xdr:rowOff>
    </xdr:to>
    <xdr:sp macro="[0]!检测表格" textlink="">
      <xdr:nvSpPr>
        <xdr:cNvPr id="2" name="矩形: 圆角 1">
          <a:extLst>
            <a:ext uri="{FF2B5EF4-FFF2-40B4-BE49-F238E27FC236}">
              <a16:creationId xmlns:a16="http://schemas.microsoft.com/office/drawing/2014/main" id="{AB69B743-B618-4F97-AD1F-19887C8841A4}"/>
            </a:ext>
          </a:extLst>
        </xdr:cNvPr>
        <xdr:cNvSpPr/>
      </xdr:nvSpPr>
      <xdr:spPr>
        <a:xfrm>
          <a:off x="670560" y="3760470"/>
          <a:ext cx="134112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t>表格检测</a:t>
          </a:r>
          <a:endParaRPr lang="en-US" altLang="zh-CN" sz="1200" b="1"/>
        </a:p>
        <a:p>
          <a:pPr algn="ctr"/>
          <a:r>
            <a:rPr lang="zh-CN" altLang="en-US" sz="1200" b="1"/>
            <a:t>系统重置</a:t>
          </a:r>
        </a:p>
      </xdr:txBody>
    </xdr:sp>
    <xdr:clientData/>
  </xdr:twoCellAnchor>
  <xdr:twoCellAnchor>
    <xdr:from>
      <xdr:col>1</xdr:col>
      <xdr:colOff>0</xdr:colOff>
      <xdr:row>25</xdr:row>
      <xdr:rowOff>0</xdr:rowOff>
    </xdr:from>
    <xdr:to>
      <xdr:col>3</xdr:col>
      <xdr:colOff>0</xdr:colOff>
      <xdr:row>28</xdr:row>
      <xdr:rowOff>53340</xdr:rowOff>
    </xdr:to>
    <xdr:sp macro="[0]!宏" textlink="">
      <xdr:nvSpPr>
        <xdr:cNvPr id="3" name="矩形: 圆角 2">
          <a:extLst>
            <a:ext uri="{FF2B5EF4-FFF2-40B4-BE49-F238E27FC236}">
              <a16:creationId xmlns:a16="http://schemas.microsoft.com/office/drawing/2014/main" id="{53AE3B6A-2871-4370-B2CE-992B941AF7DE}"/>
            </a:ext>
          </a:extLst>
        </xdr:cNvPr>
        <xdr:cNvSpPr/>
      </xdr:nvSpPr>
      <xdr:spPr>
        <a:xfrm>
          <a:off x="670560" y="4476750"/>
          <a:ext cx="1341120" cy="59055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200" b="1"/>
            <a:t>制作成绩条</a:t>
          </a:r>
          <a:endParaRPr lang="en-US" altLang="zh-CN" sz="1200" b="1"/>
        </a:p>
        <a:p>
          <a:pPr algn="ctr"/>
          <a:r>
            <a:rPr lang="zh-CN" altLang="en-US" sz="1200" b="1"/>
            <a:t>多次叠加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E41B-233A-4874-A0D1-BD00C3E9FD3F}">
  <sheetPr codeName="Sheet1"/>
  <dimension ref="A1:AC61"/>
  <sheetViews>
    <sheetView topLeftCell="A41" workbookViewId="0">
      <selection sqref="A1:A2"/>
    </sheetView>
  </sheetViews>
  <sheetFormatPr defaultRowHeight="12.6" x14ac:dyDescent="0.5"/>
  <cols>
    <col min="1" max="1" width="8.546875" style="5" customWidth="1"/>
    <col min="2" max="2" width="4.546875" style="6" customWidth="1"/>
    <col min="3" max="29" width="4.546875" style="7" customWidth="1"/>
    <col min="30" max="16384" width="8.796875" style="1"/>
  </cols>
  <sheetData>
    <row r="1" spans="1:29" x14ac:dyDescent="0.5">
      <c r="A1" s="13" t="s">
        <v>73</v>
      </c>
      <c r="B1" s="14" t="s">
        <v>0</v>
      </c>
      <c r="C1" s="11" t="s">
        <v>1</v>
      </c>
      <c r="D1" s="11"/>
      <c r="E1" s="11"/>
      <c r="F1" s="11" t="s">
        <v>2</v>
      </c>
      <c r="G1" s="11"/>
      <c r="H1" s="11"/>
      <c r="I1" s="11" t="s">
        <v>3</v>
      </c>
      <c r="J1" s="11"/>
      <c r="K1" s="11"/>
      <c r="L1" s="11" t="s">
        <v>4</v>
      </c>
      <c r="M1" s="11"/>
      <c r="N1" s="11"/>
      <c r="O1" s="11" t="s">
        <v>5</v>
      </c>
      <c r="P1" s="11"/>
      <c r="Q1" s="11"/>
      <c r="R1" s="11" t="s">
        <v>6</v>
      </c>
      <c r="S1" s="11"/>
      <c r="T1" s="11"/>
      <c r="U1" s="11" t="s">
        <v>7</v>
      </c>
      <c r="V1" s="11"/>
      <c r="W1" s="11"/>
      <c r="X1" s="11" t="s">
        <v>8</v>
      </c>
      <c r="Y1" s="11"/>
      <c r="Z1" s="11"/>
      <c r="AA1" s="12" t="s">
        <v>75</v>
      </c>
      <c r="AB1" s="12"/>
      <c r="AC1" s="12"/>
    </row>
    <row r="2" spans="1:29" ht="15" customHeight="1" x14ac:dyDescent="0.5">
      <c r="A2" s="13"/>
      <c r="B2" s="14"/>
      <c r="C2" s="8" t="s">
        <v>9</v>
      </c>
      <c r="D2" s="8" t="s">
        <v>10</v>
      </c>
      <c r="E2" s="8" t="s">
        <v>11</v>
      </c>
      <c r="F2" s="8" t="s">
        <v>9</v>
      </c>
      <c r="G2" s="8" t="s">
        <v>10</v>
      </c>
      <c r="H2" s="8" t="s">
        <v>11</v>
      </c>
      <c r="I2" s="8" t="s">
        <v>9</v>
      </c>
      <c r="J2" s="8" t="s">
        <v>10</v>
      </c>
      <c r="K2" s="8" t="s">
        <v>11</v>
      </c>
      <c r="L2" s="8" t="s">
        <v>9</v>
      </c>
      <c r="M2" s="8" t="s">
        <v>10</v>
      </c>
      <c r="N2" s="8" t="s">
        <v>11</v>
      </c>
      <c r="O2" s="8" t="s">
        <v>9</v>
      </c>
      <c r="P2" s="8" t="s">
        <v>10</v>
      </c>
      <c r="Q2" s="8" t="s">
        <v>11</v>
      </c>
      <c r="R2" s="8" t="s">
        <v>9</v>
      </c>
      <c r="S2" s="8" t="s">
        <v>10</v>
      </c>
      <c r="T2" s="8" t="s">
        <v>11</v>
      </c>
      <c r="U2" s="8" t="s">
        <v>9</v>
      </c>
      <c r="V2" s="8" t="s">
        <v>10</v>
      </c>
      <c r="W2" s="8" t="s">
        <v>11</v>
      </c>
      <c r="X2" s="8" t="s">
        <v>9</v>
      </c>
      <c r="Y2" s="8" t="s">
        <v>10</v>
      </c>
      <c r="Z2" s="8" t="s">
        <v>11</v>
      </c>
      <c r="AA2" s="8" t="s">
        <v>12</v>
      </c>
      <c r="AB2" s="8" t="s">
        <v>13</v>
      </c>
      <c r="AC2" s="9" t="s">
        <v>11</v>
      </c>
    </row>
    <row r="3" spans="1:29" x14ac:dyDescent="0.5">
      <c r="A3" s="2" t="s">
        <v>14</v>
      </c>
      <c r="B3" s="3">
        <v>1</v>
      </c>
      <c r="C3" s="4">
        <v>74</v>
      </c>
      <c r="D3" s="4">
        <v>57</v>
      </c>
      <c r="E3" s="4">
        <v>1359</v>
      </c>
      <c r="F3" s="4">
        <v>78</v>
      </c>
      <c r="G3" s="4">
        <v>42</v>
      </c>
      <c r="H3" s="4">
        <v>835</v>
      </c>
      <c r="I3" s="4">
        <v>134</v>
      </c>
      <c r="J3" s="4">
        <v>11</v>
      </c>
      <c r="K3" s="4">
        <v>243</v>
      </c>
      <c r="L3" s="4">
        <v>49</v>
      </c>
      <c r="M3" s="4">
        <v>44</v>
      </c>
      <c r="N3" s="4">
        <v>926</v>
      </c>
      <c r="O3" s="4">
        <v>90</v>
      </c>
      <c r="P3" s="4">
        <v>6</v>
      </c>
      <c r="Q3" s="4">
        <v>98</v>
      </c>
      <c r="R3" s="4">
        <v>71</v>
      </c>
      <c r="S3" s="4">
        <v>43</v>
      </c>
      <c r="T3" s="4">
        <v>784</v>
      </c>
      <c r="U3" s="4">
        <v>286</v>
      </c>
      <c r="V3" s="4">
        <v>45</v>
      </c>
      <c r="W3" s="4">
        <v>908</v>
      </c>
      <c r="X3" s="4">
        <v>210</v>
      </c>
      <c r="Y3" s="4">
        <v>35</v>
      </c>
      <c r="Z3" s="4">
        <v>637</v>
      </c>
      <c r="AA3" s="4">
        <v>496</v>
      </c>
      <c r="AB3" s="4">
        <v>41</v>
      </c>
      <c r="AC3" s="4">
        <v>745</v>
      </c>
    </row>
    <row r="4" spans="1:29" x14ac:dyDescent="0.5">
      <c r="A4" s="2" t="s">
        <v>15</v>
      </c>
      <c r="B4" s="3">
        <v>2</v>
      </c>
      <c r="C4" s="4">
        <v>93</v>
      </c>
      <c r="D4" s="4">
        <v>39</v>
      </c>
      <c r="E4" s="4">
        <v>824</v>
      </c>
      <c r="F4" s="4">
        <v>70</v>
      </c>
      <c r="G4" s="4">
        <v>47</v>
      </c>
      <c r="H4" s="4">
        <v>1009</v>
      </c>
      <c r="I4" s="4">
        <v>126</v>
      </c>
      <c r="J4" s="4">
        <v>26</v>
      </c>
      <c r="K4" s="4">
        <v>521</v>
      </c>
      <c r="L4" s="4">
        <v>77</v>
      </c>
      <c r="M4" s="4">
        <v>16</v>
      </c>
      <c r="N4" s="4">
        <v>305</v>
      </c>
      <c r="O4" s="4">
        <v>82</v>
      </c>
      <c r="P4" s="4">
        <v>20</v>
      </c>
      <c r="Q4" s="4">
        <v>347</v>
      </c>
      <c r="R4" s="4">
        <v>86</v>
      </c>
      <c r="S4" s="4">
        <v>18</v>
      </c>
      <c r="T4" s="4">
        <v>301</v>
      </c>
      <c r="U4" s="4">
        <v>289</v>
      </c>
      <c r="V4" s="4">
        <v>43</v>
      </c>
      <c r="W4" s="4">
        <v>867</v>
      </c>
      <c r="X4" s="4">
        <v>245</v>
      </c>
      <c r="Y4" s="4">
        <v>19</v>
      </c>
      <c r="Z4" s="4">
        <v>300</v>
      </c>
      <c r="AA4" s="4">
        <v>534</v>
      </c>
      <c r="AB4" s="4">
        <v>31</v>
      </c>
      <c r="AC4" s="4">
        <v>533</v>
      </c>
    </row>
    <row r="5" spans="1:29" x14ac:dyDescent="0.5">
      <c r="A5" s="2" t="s">
        <v>16</v>
      </c>
      <c r="B5" s="3">
        <v>3</v>
      </c>
      <c r="C5" s="4">
        <v>105</v>
      </c>
      <c r="D5" s="4">
        <v>16</v>
      </c>
      <c r="E5" s="4">
        <v>307</v>
      </c>
      <c r="F5" s="4">
        <v>95</v>
      </c>
      <c r="G5" s="4">
        <v>22</v>
      </c>
      <c r="H5" s="4">
        <v>483</v>
      </c>
      <c r="I5" s="4">
        <v>138.5</v>
      </c>
      <c r="J5" s="4">
        <v>3</v>
      </c>
      <c r="K5" s="4">
        <v>94</v>
      </c>
      <c r="L5" s="4">
        <v>61</v>
      </c>
      <c r="M5" s="4">
        <v>30</v>
      </c>
      <c r="N5" s="4">
        <v>655</v>
      </c>
      <c r="O5" s="4">
        <v>74</v>
      </c>
      <c r="P5" s="4">
        <v>35</v>
      </c>
      <c r="Q5" s="4">
        <v>603</v>
      </c>
      <c r="R5" s="4">
        <v>69</v>
      </c>
      <c r="S5" s="4">
        <v>49</v>
      </c>
      <c r="T5" s="4">
        <v>855</v>
      </c>
      <c r="U5" s="4">
        <v>338.5</v>
      </c>
      <c r="V5" s="4">
        <v>10</v>
      </c>
      <c r="W5" s="4">
        <v>247</v>
      </c>
      <c r="X5" s="4">
        <v>204</v>
      </c>
      <c r="Y5" s="4">
        <v>38</v>
      </c>
      <c r="Z5" s="4">
        <v>695</v>
      </c>
      <c r="AA5" s="4">
        <v>542.5</v>
      </c>
      <c r="AB5" s="4">
        <v>27</v>
      </c>
      <c r="AC5" s="4">
        <v>489</v>
      </c>
    </row>
    <row r="6" spans="1:29" x14ac:dyDescent="0.5">
      <c r="A6" s="2" t="s">
        <v>17</v>
      </c>
      <c r="B6" s="3">
        <v>4</v>
      </c>
      <c r="C6" s="4">
        <v>98</v>
      </c>
      <c r="D6" s="4">
        <v>28</v>
      </c>
      <c r="E6" s="4">
        <v>604</v>
      </c>
      <c r="F6" s="4">
        <v>109</v>
      </c>
      <c r="G6" s="4">
        <v>11</v>
      </c>
      <c r="H6" s="4">
        <v>227</v>
      </c>
      <c r="I6" s="4">
        <v>122.5</v>
      </c>
      <c r="J6" s="4">
        <v>37</v>
      </c>
      <c r="K6" s="4">
        <v>660</v>
      </c>
      <c r="L6" s="4">
        <v>87</v>
      </c>
      <c r="M6" s="4">
        <v>9</v>
      </c>
      <c r="N6" s="4">
        <v>160</v>
      </c>
      <c r="O6" s="4">
        <v>76</v>
      </c>
      <c r="P6" s="4">
        <v>32</v>
      </c>
      <c r="Q6" s="4">
        <v>534</v>
      </c>
      <c r="R6" s="4">
        <v>88</v>
      </c>
      <c r="S6" s="4">
        <v>15</v>
      </c>
      <c r="T6" s="4">
        <v>224</v>
      </c>
      <c r="U6" s="4">
        <v>329.5</v>
      </c>
      <c r="V6" s="4">
        <v>21</v>
      </c>
      <c r="W6" s="4">
        <v>357</v>
      </c>
      <c r="X6" s="4">
        <v>251</v>
      </c>
      <c r="Y6" s="4">
        <v>17</v>
      </c>
      <c r="Z6" s="4">
        <v>247</v>
      </c>
      <c r="AA6" s="4">
        <v>580.5</v>
      </c>
      <c r="AB6" s="4">
        <v>16</v>
      </c>
      <c r="AC6" s="4">
        <v>275</v>
      </c>
    </row>
    <row r="7" spans="1:29" x14ac:dyDescent="0.5">
      <c r="A7" s="2" t="s">
        <v>18</v>
      </c>
      <c r="B7" s="3">
        <v>5</v>
      </c>
      <c r="C7" s="4">
        <v>96</v>
      </c>
      <c r="D7" s="4">
        <v>33</v>
      </c>
      <c r="E7" s="4">
        <v>696</v>
      </c>
      <c r="F7" s="4">
        <v>112</v>
      </c>
      <c r="G7" s="4">
        <v>8</v>
      </c>
      <c r="H7" s="4">
        <v>181</v>
      </c>
      <c r="I7" s="4">
        <v>123</v>
      </c>
      <c r="J7" s="4">
        <v>35</v>
      </c>
      <c r="K7" s="4">
        <v>637</v>
      </c>
      <c r="L7" s="4">
        <v>103</v>
      </c>
      <c r="M7" s="4">
        <v>2</v>
      </c>
      <c r="N7" s="4">
        <v>16</v>
      </c>
      <c r="O7" s="4">
        <v>88</v>
      </c>
      <c r="P7" s="4">
        <v>9</v>
      </c>
      <c r="Q7" s="4">
        <v>158</v>
      </c>
      <c r="R7" s="4">
        <v>83</v>
      </c>
      <c r="S7" s="4">
        <v>26</v>
      </c>
      <c r="T7" s="4">
        <v>407</v>
      </c>
      <c r="U7" s="4">
        <v>331</v>
      </c>
      <c r="V7" s="4">
        <v>18</v>
      </c>
      <c r="W7" s="4">
        <v>343</v>
      </c>
      <c r="X7" s="4">
        <v>274</v>
      </c>
      <c r="Y7" s="4">
        <v>6</v>
      </c>
      <c r="Z7" s="4">
        <v>77</v>
      </c>
      <c r="AA7" s="4">
        <v>605</v>
      </c>
      <c r="AB7" s="4">
        <v>9</v>
      </c>
      <c r="AC7" s="4">
        <v>163</v>
      </c>
    </row>
    <row r="8" spans="1:29" x14ac:dyDescent="0.5">
      <c r="A8" s="2" t="s">
        <v>19</v>
      </c>
      <c r="B8" s="3">
        <v>6</v>
      </c>
      <c r="C8" s="4">
        <v>109</v>
      </c>
      <c r="D8" s="4">
        <v>10</v>
      </c>
      <c r="E8" s="4">
        <v>175</v>
      </c>
      <c r="F8" s="4">
        <v>68</v>
      </c>
      <c r="G8" s="4">
        <v>49</v>
      </c>
      <c r="H8" s="4">
        <v>1044</v>
      </c>
      <c r="I8" s="4">
        <v>125</v>
      </c>
      <c r="J8" s="4">
        <v>30</v>
      </c>
      <c r="K8" s="4">
        <v>555</v>
      </c>
      <c r="L8" s="4">
        <v>52</v>
      </c>
      <c r="M8" s="4">
        <v>38</v>
      </c>
      <c r="N8" s="4">
        <v>860</v>
      </c>
      <c r="O8" s="4">
        <v>78</v>
      </c>
      <c r="P8" s="4">
        <v>28</v>
      </c>
      <c r="Q8" s="4">
        <v>460</v>
      </c>
      <c r="R8" s="4">
        <v>71</v>
      </c>
      <c r="S8" s="4">
        <v>43</v>
      </c>
      <c r="T8" s="4">
        <v>784</v>
      </c>
      <c r="U8" s="4">
        <v>302</v>
      </c>
      <c r="V8" s="4">
        <v>35</v>
      </c>
      <c r="W8" s="4">
        <v>683</v>
      </c>
      <c r="X8" s="4">
        <v>201</v>
      </c>
      <c r="Y8" s="4">
        <v>40</v>
      </c>
      <c r="Z8" s="4">
        <v>730</v>
      </c>
      <c r="AA8" s="4">
        <v>503</v>
      </c>
      <c r="AB8" s="4">
        <v>38</v>
      </c>
      <c r="AC8" s="4">
        <v>711</v>
      </c>
    </row>
    <row r="9" spans="1:29" x14ac:dyDescent="0.5">
      <c r="A9" s="2" t="s">
        <v>20</v>
      </c>
      <c r="B9" s="3">
        <v>7</v>
      </c>
      <c r="C9" s="4">
        <v>109</v>
      </c>
      <c r="D9" s="4">
        <v>10</v>
      </c>
      <c r="E9" s="4">
        <v>175</v>
      </c>
      <c r="F9" s="4">
        <v>87</v>
      </c>
      <c r="G9" s="4">
        <v>34</v>
      </c>
      <c r="H9" s="4">
        <v>660</v>
      </c>
      <c r="I9" s="4">
        <v>135.5</v>
      </c>
      <c r="J9" s="4">
        <v>8</v>
      </c>
      <c r="K9" s="4">
        <v>198</v>
      </c>
      <c r="L9" s="4">
        <v>49</v>
      </c>
      <c r="M9" s="4">
        <v>44</v>
      </c>
      <c r="N9" s="4">
        <v>926</v>
      </c>
      <c r="O9" s="4">
        <v>70</v>
      </c>
      <c r="P9" s="4">
        <v>41</v>
      </c>
      <c r="Q9" s="4">
        <v>743</v>
      </c>
      <c r="R9" s="4">
        <v>78</v>
      </c>
      <c r="S9" s="4">
        <v>36</v>
      </c>
      <c r="T9" s="4">
        <v>568</v>
      </c>
      <c r="U9" s="4">
        <v>331.5</v>
      </c>
      <c r="V9" s="4">
        <v>17</v>
      </c>
      <c r="W9" s="4">
        <v>334</v>
      </c>
      <c r="X9" s="4">
        <v>197</v>
      </c>
      <c r="Y9" s="4">
        <v>42</v>
      </c>
      <c r="Z9" s="4">
        <v>769</v>
      </c>
      <c r="AA9" s="4">
        <v>528.5</v>
      </c>
      <c r="AB9" s="4">
        <v>33</v>
      </c>
      <c r="AC9" s="4">
        <v>571</v>
      </c>
    </row>
    <row r="10" spans="1:29" x14ac:dyDescent="0.5">
      <c r="A10" s="2" t="s">
        <v>21</v>
      </c>
      <c r="B10" s="3">
        <v>8</v>
      </c>
      <c r="C10" s="4">
        <v>119</v>
      </c>
      <c r="D10" s="4">
        <v>1</v>
      </c>
      <c r="E10" s="4">
        <v>17</v>
      </c>
      <c r="F10" s="4">
        <v>111</v>
      </c>
      <c r="G10" s="4">
        <v>10</v>
      </c>
      <c r="H10" s="4">
        <v>194</v>
      </c>
      <c r="I10" s="4">
        <v>139.5</v>
      </c>
      <c r="J10" s="4">
        <v>2</v>
      </c>
      <c r="K10" s="4">
        <v>72</v>
      </c>
      <c r="L10" s="4">
        <v>82</v>
      </c>
      <c r="M10" s="4">
        <v>12</v>
      </c>
      <c r="N10" s="4">
        <v>231</v>
      </c>
      <c r="O10" s="4">
        <v>88</v>
      </c>
      <c r="P10" s="4">
        <v>9</v>
      </c>
      <c r="Q10" s="4">
        <v>158</v>
      </c>
      <c r="R10" s="4">
        <v>95</v>
      </c>
      <c r="S10" s="4">
        <v>4</v>
      </c>
      <c r="T10" s="4">
        <v>32</v>
      </c>
      <c r="U10" s="4">
        <v>369.5</v>
      </c>
      <c r="V10" s="4">
        <v>2</v>
      </c>
      <c r="W10" s="4">
        <v>59</v>
      </c>
      <c r="X10" s="4">
        <v>265</v>
      </c>
      <c r="Y10" s="4">
        <v>8</v>
      </c>
      <c r="Z10" s="4">
        <v>130</v>
      </c>
      <c r="AA10" s="4">
        <v>634.5</v>
      </c>
      <c r="AB10" s="4">
        <v>4</v>
      </c>
      <c r="AC10" s="4">
        <v>69</v>
      </c>
    </row>
    <row r="11" spans="1:29" x14ac:dyDescent="0.5">
      <c r="A11" s="2" t="s">
        <v>22</v>
      </c>
      <c r="B11" s="3">
        <v>9</v>
      </c>
      <c r="C11" s="4">
        <v>93</v>
      </c>
      <c r="D11" s="4">
        <v>39</v>
      </c>
      <c r="E11" s="4">
        <v>824</v>
      </c>
      <c r="F11" s="4">
        <v>79</v>
      </c>
      <c r="G11" s="4">
        <v>41</v>
      </c>
      <c r="H11" s="4">
        <v>814</v>
      </c>
      <c r="I11" s="4">
        <v>120</v>
      </c>
      <c r="J11" s="4">
        <v>39</v>
      </c>
      <c r="K11" s="4">
        <v>752</v>
      </c>
      <c r="L11" s="4">
        <v>82</v>
      </c>
      <c r="M11" s="4">
        <v>12</v>
      </c>
      <c r="N11" s="4">
        <v>231</v>
      </c>
      <c r="O11" s="4">
        <v>88</v>
      </c>
      <c r="P11" s="4">
        <v>9</v>
      </c>
      <c r="Q11" s="4">
        <v>158</v>
      </c>
      <c r="R11" s="4">
        <v>85</v>
      </c>
      <c r="S11" s="4">
        <v>22</v>
      </c>
      <c r="T11" s="4">
        <v>344</v>
      </c>
      <c r="U11" s="4">
        <v>292</v>
      </c>
      <c r="V11" s="4">
        <v>41</v>
      </c>
      <c r="W11" s="4">
        <v>829</v>
      </c>
      <c r="X11" s="4">
        <v>255</v>
      </c>
      <c r="Y11" s="4">
        <v>15</v>
      </c>
      <c r="Z11" s="4">
        <v>214</v>
      </c>
      <c r="AA11" s="4">
        <v>547</v>
      </c>
      <c r="AB11" s="4">
        <v>25</v>
      </c>
      <c r="AC11" s="4">
        <v>466</v>
      </c>
    </row>
    <row r="12" spans="1:29" x14ac:dyDescent="0.5">
      <c r="A12" s="2" t="s">
        <v>23</v>
      </c>
      <c r="B12" s="3">
        <v>10</v>
      </c>
      <c r="C12" s="4">
        <v>105</v>
      </c>
      <c r="D12" s="4">
        <v>16</v>
      </c>
      <c r="E12" s="4">
        <v>307</v>
      </c>
      <c r="F12" s="4">
        <v>74</v>
      </c>
      <c r="G12" s="4">
        <v>46</v>
      </c>
      <c r="H12" s="4">
        <v>916</v>
      </c>
      <c r="I12" s="4">
        <v>114.5</v>
      </c>
      <c r="J12" s="4">
        <v>45</v>
      </c>
      <c r="K12" s="4">
        <v>933</v>
      </c>
      <c r="L12" s="4">
        <v>77</v>
      </c>
      <c r="M12" s="4">
        <v>16</v>
      </c>
      <c r="N12" s="4">
        <v>305</v>
      </c>
      <c r="O12" s="4">
        <v>68</v>
      </c>
      <c r="P12" s="4">
        <v>45</v>
      </c>
      <c r="Q12" s="4">
        <v>803</v>
      </c>
      <c r="R12" s="4">
        <v>80</v>
      </c>
      <c r="S12" s="4">
        <v>33</v>
      </c>
      <c r="T12" s="4">
        <v>497</v>
      </c>
      <c r="U12" s="4">
        <v>293.5</v>
      </c>
      <c r="V12" s="4">
        <v>39</v>
      </c>
      <c r="W12" s="4">
        <v>810</v>
      </c>
      <c r="X12" s="4">
        <v>225</v>
      </c>
      <c r="Y12" s="4">
        <v>26</v>
      </c>
      <c r="Z12" s="4">
        <v>485</v>
      </c>
      <c r="AA12" s="4">
        <v>518.5</v>
      </c>
      <c r="AB12" s="4">
        <v>35</v>
      </c>
      <c r="AC12" s="4">
        <v>624</v>
      </c>
    </row>
    <row r="13" spans="1:29" x14ac:dyDescent="0.5">
      <c r="A13" s="2" t="s">
        <v>24</v>
      </c>
      <c r="B13" s="3">
        <v>11</v>
      </c>
      <c r="C13" s="4">
        <v>98</v>
      </c>
      <c r="D13" s="4">
        <v>28</v>
      </c>
      <c r="E13" s="4">
        <v>604</v>
      </c>
      <c r="F13" s="4">
        <v>90</v>
      </c>
      <c r="G13" s="4">
        <v>29</v>
      </c>
      <c r="H13" s="4">
        <v>594</v>
      </c>
      <c r="I13" s="4">
        <v>99.5</v>
      </c>
      <c r="J13" s="4">
        <v>58</v>
      </c>
      <c r="K13" s="4">
        <v>1248</v>
      </c>
      <c r="L13" s="4">
        <v>50</v>
      </c>
      <c r="M13" s="4">
        <v>42</v>
      </c>
      <c r="N13" s="4">
        <v>902</v>
      </c>
      <c r="O13" s="4">
        <v>70</v>
      </c>
      <c r="P13" s="4">
        <v>41</v>
      </c>
      <c r="Q13" s="4">
        <v>743</v>
      </c>
      <c r="R13" s="4">
        <v>63</v>
      </c>
      <c r="S13" s="4">
        <v>54</v>
      </c>
      <c r="T13" s="4">
        <v>1012</v>
      </c>
      <c r="U13" s="4">
        <v>287.5</v>
      </c>
      <c r="V13" s="4">
        <v>44</v>
      </c>
      <c r="W13" s="4">
        <v>884</v>
      </c>
      <c r="X13" s="4">
        <v>183</v>
      </c>
      <c r="Y13" s="4">
        <v>47</v>
      </c>
      <c r="Z13" s="4">
        <v>907</v>
      </c>
      <c r="AA13" s="4">
        <v>470.5</v>
      </c>
      <c r="AB13" s="4">
        <v>47</v>
      </c>
      <c r="AC13" s="4">
        <v>902</v>
      </c>
    </row>
    <row r="14" spans="1:29" x14ac:dyDescent="0.5">
      <c r="A14" s="2" t="s">
        <v>25</v>
      </c>
      <c r="B14" s="3">
        <v>12</v>
      </c>
      <c r="C14" s="4">
        <v>99</v>
      </c>
      <c r="D14" s="4">
        <v>27</v>
      </c>
      <c r="E14" s="4">
        <v>548</v>
      </c>
      <c r="F14" s="4">
        <v>76</v>
      </c>
      <c r="G14" s="4">
        <v>45</v>
      </c>
      <c r="H14" s="4">
        <v>882</v>
      </c>
      <c r="I14" s="4">
        <v>124.5</v>
      </c>
      <c r="J14" s="4">
        <v>33</v>
      </c>
      <c r="K14" s="4">
        <v>578</v>
      </c>
      <c r="L14" s="4">
        <v>43</v>
      </c>
      <c r="M14" s="4">
        <v>49</v>
      </c>
      <c r="N14" s="4">
        <v>1046</v>
      </c>
      <c r="O14" s="4">
        <v>56</v>
      </c>
      <c r="P14" s="4">
        <v>56</v>
      </c>
      <c r="Q14" s="4">
        <v>1107</v>
      </c>
      <c r="R14" s="4">
        <v>51</v>
      </c>
      <c r="S14" s="4">
        <v>58</v>
      </c>
      <c r="T14" s="4">
        <v>1254</v>
      </c>
      <c r="U14" s="4">
        <v>299.5</v>
      </c>
      <c r="V14" s="4">
        <v>36</v>
      </c>
      <c r="W14" s="4">
        <v>720</v>
      </c>
      <c r="X14" s="4">
        <v>150</v>
      </c>
      <c r="Y14" s="4">
        <v>58</v>
      </c>
      <c r="Z14" s="4">
        <v>1184</v>
      </c>
      <c r="AA14" s="4">
        <v>449.5</v>
      </c>
      <c r="AB14" s="4">
        <v>51</v>
      </c>
      <c r="AC14" s="4">
        <v>1015</v>
      </c>
    </row>
    <row r="15" spans="1:29" x14ac:dyDescent="0.5">
      <c r="A15" s="2" t="s">
        <v>26</v>
      </c>
      <c r="B15" s="3">
        <v>13</v>
      </c>
      <c r="C15" s="4">
        <v>98</v>
      </c>
      <c r="D15" s="4">
        <v>28</v>
      </c>
      <c r="E15" s="4">
        <v>604</v>
      </c>
      <c r="F15" s="4">
        <v>123</v>
      </c>
      <c r="G15" s="4">
        <v>4</v>
      </c>
      <c r="H15" s="4">
        <v>81</v>
      </c>
      <c r="I15" s="4">
        <v>127.5</v>
      </c>
      <c r="J15" s="4">
        <v>24</v>
      </c>
      <c r="K15" s="4">
        <v>473</v>
      </c>
      <c r="L15" s="4">
        <v>108</v>
      </c>
      <c r="M15" s="4">
        <v>1</v>
      </c>
      <c r="N15" s="4">
        <v>1</v>
      </c>
      <c r="O15" s="4">
        <v>94</v>
      </c>
      <c r="P15" s="4">
        <v>4</v>
      </c>
      <c r="Q15" s="4">
        <v>27</v>
      </c>
      <c r="R15" s="4">
        <v>89</v>
      </c>
      <c r="S15" s="4">
        <v>13</v>
      </c>
      <c r="T15" s="4">
        <v>191</v>
      </c>
      <c r="U15" s="4">
        <v>348.5</v>
      </c>
      <c r="V15" s="4">
        <v>4</v>
      </c>
      <c r="W15" s="4">
        <v>160</v>
      </c>
      <c r="X15" s="4">
        <v>291</v>
      </c>
      <c r="Y15" s="4">
        <v>2</v>
      </c>
      <c r="Z15" s="4">
        <v>10</v>
      </c>
      <c r="AA15" s="4">
        <v>639.5</v>
      </c>
      <c r="AB15" s="4">
        <v>2</v>
      </c>
      <c r="AC15" s="4">
        <v>57</v>
      </c>
    </row>
    <row r="16" spans="1:29" x14ac:dyDescent="0.5">
      <c r="A16" s="2" t="s">
        <v>27</v>
      </c>
      <c r="B16" s="3">
        <v>14</v>
      </c>
      <c r="C16" s="4">
        <v>104</v>
      </c>
      <c r="D16" s="4">
        <v>20</v>
      </c>
      <c r="E16" s="4">
        <v>339</v>
      </c>
      <c r="F16" s="4">
        <v>130</v>
      </c>
      <c r="G16" s="4">
        <v>2</v>
      </c>
      <c r="H16" s="4">
        <v>42</v>
      </c>
      <c r="I16" s="4">
        <v>125</v>
      </c>
      <c r="J16" s="4">
        <v>30</v>
      </c>
      <c r="K16" s="4">
        <v>555</v>
      </c>
      <c r="L16" s="4">
        <v>88</v>
      </c>
      <c r="M16" s="4">
        <v>8</v>
      </c>
      <c r="N16" s="4">
        <v>147</v>
      </c>
      <c r="O16" s="4">
        <v>98</v>
      </c>
      <c r="P16" s="4">
        <v>1</v>
      </c>
      <c r="Q16" s="4">
        <v>5</v>
      </c>
      <c r="R16" s="4">
        <v>91</v>
      </c>
      <c r="S16" s="4">
        <v>8</v>
      </c>
      <c r="T16" s="4">
        <v>128</v>
      </c>
      <c r="U16" s="4">
        <v>359</v>
      </c>
      <c r="V16" s="4">
        <v>3</v>
      </c>
      <c r="W16" s="4">
        <v>101</v>
      </c>
      <c r="X16" s="4">
        <v>277</v>
      </c>
      <c r="Y16" s="4">
        <v>5</v>
      </c>
      <c r="Z16" s="4">
        <v>60</v>
      </c>
      <c r="AA16" s="4">
        <v>636</v>
      </c>
      <c r="AB16" s="4">
        <v>3</v>
      </c>
      <c r="AC16" s="4">
        <v>66</v>
      </c>
    </row>
    <row r="17" spans="1:29" x14ac:dyDescent="0.5">
      <c r="A17" s="2" t="s">
        <v>28</v>
      </c>
      <c r="B17" s="3">
        <v>15</v>
      </c>
      <c r="C17" s="4">
        <v>106</v>
      </c>
      <c r="D17" s="4">
        <v>15</v>
      </c>
      <c r="E17" s="4">
        <v>277</v>
      </c>
      <c r="F17" s="4">
        <v>97</v>
      </c>
      <c r="G17" s="4">
        <v>19</v>
      </c>
      <c r="H17" s="4">
        <v>437</v>
      </c>
      <c r="I17" s="4">
        <v>138.5</v>
      </c>
      <c r="J17" s="4">
        <v>3</v>
      </c>
      <c r="K17" s="4">
        <v>94</v>
      </c>
      <c r="L17" s="4">
        <v>56</v>
      </c>
      <c r="M17" s="4">
        <v>35</v>
      </c>
      <c r="N17" s="4">
        <v>786</v>
      </c>
      <c r="O17" s="4">
        <v>70</v>
      </c>
      <c r="P17" s="4">
        <v>41</v>
      </c>
      <c r="Q17" s="4">
        <v>743</v>
      </c>
      <c r="R17" s="4">
        <v>82</v>
      </c>
      <c r="S17" s="4">
        <v>30</v>
      </c>
      <c r="T17" s="4">
        <v>444</v>
      </c>
      <c r="U17" s="4">
        <v>341.5</v>
      </c>
      <c r="V17" s="4">
        <v>8</v>
      </c>
      <c r="W17" s="4">
        <v>217</v>
      </c>
      <c r="X17" s="4">
        <v>208</v>
      </c>
      <c r="Y17" s="4">
        <v>36</v>
      </c>
      <c r="Z17" s="4">
        <v>654</v>
      </c>
      <c r="AA17" s="4">
        <v>549.5</v>
      </c>
      <c r="AB17" s="4">
        <v>22</v>
      </c>
      <c r="AC17" s="4">
        <v>443</v>
      </c>
    </row>
    <row r="18" spans="1:29" x14ac:dyDescent="0.5">
      <c r="A18" s="2" t="s">
        <v>29</v>
      </c>
      <c r="B18" s="3">
        <v>16</v>
      </c>
      <c r="C18" s="4">
        <v>98</v>
      </c>
      <c r="D18" s="4">
        <v>28</v>
      </c>
      <c r="E18" s="4">
        <v>604</v>
      </c>
      <c r="F18" s="4">
        <v>82</v>
      </c>
      <c r="G18" s="4">
        <v>39</v>
      </c>
      <c r="H18" s="4">
        <v>756</v>
      </c>
      <c r="I18" s="4">
        <v>136.5</v>
      </c>
      <c r="J18" s="4">
        <v>7</v>
      </c>
      <c r="K18" s="4">
        <v>157</v>
      </c>
      <c r="L18" s="4">
        <v>72</v>
      </c>
      <c r="M18" s="4">
        <v>23</v>
      </c>
      <c r="N18" s="4">
        <v>427</v>
      </c>
      <c r="O18" s="4">
        <v>74</v>
      </c>
      <c r="P18" s="4">
        <v>35</v>
      </c>
      <c r="Q18" s="4">
        <v>603</v>
      </c>
      <c r="R18" s="4">
        <v>84</v>
      </c>
      <c r="S18" s="4">
        <v>23</v>
      </c>
      <c r="T18" s="4">
        <v>379</v>
      </c>
      <c r="U18" s="4">
        <v>316.5</v>
      </c>
      <c r="V18" s="4">
        <v>28</v>
      </c>
      <c r="W18" s="4">
        <v>511</v>
      </c>
      <c r="X18" s="4">
        <v>230</v>
      </c>
      <c r="Y18" s="4">
        <v>24</v>
      </c>
      <c r="Z18" s="4">
        <v>445</v>
      </c>
      <c r="AA18" s="4">
        <v>546.5</v>
      </c>
      <c r="AB18" s="4">
        <v>26</v>
      </c>
      <c r="AC18" s="4">
        <v>468</v>
      </c>
    </row>
    <row r="19" spans="1:29" x14ac:dyDescent="0.5">
      <c r="A19" s="2" t="s">
        <v>30</v>
      </c>
      <c r="B19" s="3">
        <v>17</v>
      </c>
      <c r="C19" s="4">
        <v>103</v>
      </c>
      <c r="D19" s="4">
        <v>22</v>
      </c>
      <c r="E19" s="4">
        <v>374</v>
      </c>
      <c r="F19" s="4">
        <v>88</v>
      </c>
      <c r="G19" s="4">
        <v>33</v>
      </c>
      <c r="H19" s="4">
        <v>643</v>
      </c>
      <c r="I19" s="4">
        <v>123</v>
      </c>
      <c r="J19" s="4">
        <v>35</v>
      </c>
      <c r="K19" s="4">
        <v>637</v>
      </c>
      <c r="L19" s="4">
        <v>74</v>
      </c>
      <c r="M19" s="4">
        <v>22</v>
      </c>
      <c r="N19" s="4">
        <v>372</v>
      </c>
      <c r="O19" s="4">
        <v>87</v>
      </c>
      <c r="P19" s="4">
        <v>13</v>
      </c>
      <c r="Q19" s="4">
        <v>208</v>
      </c>
      <c r="R19" s="4">
        <v>86</v>
      </c>
      <c r="S19" s="4">
        <v>18</v>
      </c>
      <c r="T19" s="4">
        <v>301</v>
      </c>
      <c r="U19" s="4">
        <v>314</v>
      </c>
      <c r="V19" s="4">
        <v>32</v>
      </c>
      <c r="W19" s="4">
        <v>540</v>
      </c>
      <c r="X19" s="4">
        <v>247</v>
      </c>
      <c r="Y19" s="4">
        <v>18</v>
      </c>
      <c r="Z19" s="4">
        <v>285</v>
      </c>
      <c r="AA19" s="4">
        <v>561</v>
      </c>
      <c r="AB19" s="4">
        <v>19</v>
      </c>
      <c r="AC19" s="4">
        <v>369</v>
      </c>
    </row>
    <row r="20" spans="1:29" x14ac:dyDescent="0.5">
      <c r="A20" s="2" t="s">
        <v>31</v>
      </c>
      <c r="B20" s="3">
        <v>18</v>
      </c>
      <c r="C20" s="4">
        <v>105</v>
      </c>
      <c r="D20" s="4">
        <v>16</v>
      </c>
      <c r="E20" s="4">
        <v>307</v>
      </c>
      <c r="F20" s="4">
        <v>62</v>
      </c>
      <c r="G20" s="4">
        <v>51</v>
      </c>
      <c r="H20" s="4">
        <v>1135</v>
      </c>
      <c r="I20" s="4">
        <v>114</v>
      </c>
      <c r="J20" s="4">
        <v>46</v>
      </c>
      <c r="K20" s="4">
        <v>948</v>
      </c>
      <c r="L20" s="4">
        <v>31</v>
      </c>
      <c r="M20" s="4">
        <v>58</v>
      </c>
      <c r="N20" s="4">
        <v>1295</v>
      </c>
      <c r="O20" s="4">
        <v>58</v>
      </c>
      <c r="P20" s="4">
        <v>54</v>
      </c>
      <c r="Q20" s="4">
        <v>1069</v>
      </c>
      <c r="R20" s="4">
        <v>71</v>
      </c>
      <c r="S20" s="4">
        <v>43</v>
      </c>
      <c r="T20" s="4">
        <v>784</v>
      </c>
      <c r="U20" s="4">
        <v>281</v>
      </c>
      <c r="V20" s="4">
        <v>47</v>
      </c>
      <c r="W20" s="4">
        <v>956</v>
      </c>
      <c r="X20" s="4">
        <v>160</v>
      </c>
      <c r="Y20" s="4">
        <v>56</v>
      </c>
      <c r="Z20" s="4">
        <v>1114</v>
      </c>
      <c r="AA20" s="4">
        <v>441</v>
      </c>
      <c r="AB20" s="4">
        <v>55</v>
      </c>
      <c r="AC20" s="4">
        <v>1069</v>
      </c>
    </row>
    <row r="21" spans="1:29" x14ac:dyDescent="0.5">
      <c r="A21" s="2" t="s">
        <v>32</v>
      </c>
      <c r="B21" s="3">
        <v>19</v>
      </c>
      <c r="C21" s="4">
        <v>93</v>
      </c>
      <c r="D21" s="4">
        <v>39</v>
      </c>
      <c r="E21" s="4">
        <v>824</v>
      </c>
      <c r="F21" s="4">
        <v>92</v>
      </c>
      <c r="G21" s="4">
        <v>27</v>
      </c>
      <c r="H21" s="4">
        <v>553</v>
      </c>
      <c r="I21" s="4">
        <v>113</v>
      </c>
      <c r="J21" s="4">
        <v>48</v>
      </c>
      <c r="K21" s="4">
        <v>970</v>
      </c>
      <c r="L21" s="4">
        <v>71</v>
      </c>
      <c r="M21" s="4">
        <v>25</v>
      </c>
      <c r="N21" s="4">
        <v>451</v>
      </c>
      <c r="O21" s="4">
        <v>71</v>
      </c>
      <c r="P21" s="4">
        <v>39</v>
      </c>
      <c r="Q21" s="4">
        <v>726</v>
      </c>
      <c r="R21" s="4">
        <v>71</v>
      </c>
      <c r="S21" s="4">
        <v>43</v>
      </c>
      <c r="T21" s="4">
        <v>784</v>
      </c>
      <c r="U21" s="4">
        <v>298</v>
      </c>
      <c r="V21" s="4">
        <v>37</v>
      </c>
      <c r="W21" s="4">
        <v>752</v>
      </c>
      <c r="X21" s="4">
        <v>213</v>
      </c>
      <c r="Y21" s="4">
        <v>32</v>
      </c>
      <c r="Z21" s="4">
        <v>599</v>
      </c>
      <c r="AA21" s="4">
        <v>511</v>
      </c>
      <c r="AB21" s="4">
        <v>37</v>
      </c>
      <c r="AC21" s="4">
        <v>661</v>
      </c>
    </row>
    <row r="22" spans="1:29" x14ac:dyDescent="0.5">
      <c r="A22" s="2" t="s">
        <v>33</v>
      </c>
      <c r="B22" s="3">
        <v>20</v>
      </c>
      <c r="C22" s="4">
        <v>96</v>
      </c>
      <c r="D22" s="4">
        <v>33</v>
      </c>
      <c r="E22" s="4">
        <v>696</v>
      </c>
      <c r="F22" s="4">
        <v>89</v>
      </c>
      <c r="G22" s="4">
        <v>30</v>
      </c>
      <c r="H22" s="4">
        <v>619</v>
      </c>
      <c r="I22" s="4">
        <v>129.5</v>
      </c>
      <c r="J22" s="4">
        <v>18</v>
      </c>
      <c r="K22" s="4">
        <v>401</v>
      </c>
      <c r="L22" s="4">
        <v>60</v>
      </c>
      <c r="M22" s="4">
        <v>32</v>
      </c>
      <c r="N22" s="4">
        <v>683</v>
      </c>
      <c r="O22" s="4">
        <v>80</v>
      </c>
      <c r="P22" s="4">
        <v>25</v>
      </c>
      <c r="Q22" s="4">
        <v>411</v>
      </c>
      <c r="R22" s="4">
        <v>86</v>
      </c>
      <c r="S22" s="4">
        <v>18</v>
      </c>
      <c r="T22" s="4">
        <v>301</v>
      </c>
      <c r="U22" s="4">
        <v>314.5</v>
      </c>
      <c r="V22" s="4">
        <v>30</v>
      </c>
      <c r="W22" s="4">
        <v>536</v>
      </c>
      <c r="X22" s="4">
        <v>226</v>
      </c>
      <c r="Y22" s="4">
        <v>25</v>
      </c>
      <c r="Z22" s="4">
        <v>479</v>
      </c>
      <c r="AA22" s="4">
        <v>540.5</v>
      </c>
      <c r="AB22" s="4">
        <v>28</v>
      </c>
      <c r="AC22" s="4">
        <v>494</v>
      </c>
    </row>
    <row r="23" spans="1:29" x14ac:dyDescent="0.5">
      <c r="A23" s="2" t="s">
        <v>34</v>
      </c>
      <c r="B23" s="3">
        <v>21</v>
      </c>
      <c r="C23" s="4">
        <v>72</v>
      </c>
      <c r="D23" s="4">
        <v>58</v>
      </c>
      <c r="E23" s="4">
        <v>1373</v>
      </c>
      <c r="F23" s="4">
        <v>53</v>
      </c>
      <c r="G23" s="4">
        <v>56</v>
      </c>
      <c r="H23" s="4">
        <v>1280</v>
      </c>
      <c r="I23" s="4">
        <v>87.5</v>
      </c>
      <c r="J23" s="4">
        <v>59</v>
      </c>
      <c r="K23" s="4">
        <v>1356</v>
      </c>
      <c r="L23" s="4">
        <v>67</v>
      </c>
      <c r="M23" s="4">
        <v>26</v>
      </c>
      <c r="N23" s="4">
        <v>527</v>
      </c>
      <c r="O23" s="4">
        <v>48</v>
      </c>
      <c r="P23" s="4">
        <v>59</v>
      </c>
      <c r="Q23" s="4">
        <v>1250</v>
      </c>
      <c r="R23" s="4">
        <v>55</v>
      </c>
      <c r="S23" s="4">
        <v>57</v>
      </c>
      <c r="T23" s="4">
        <v>1179</v>
      </c>
      <c r="U23" s="4">
        <v>212.5</v>
      </c>
      <c r="V23" s="4">
        <v>59</v>
      </c>
      <c r="W23" s="4">
        <v>1392</v>
      </c>
      <c r="X23" s="4">
        <v>170</v>
      </c>
      <c r="Y23" s="4">
        <v>52</v>
      </c>
      <c r="Z23" s="4">
        <v>1038</v>
      </c>
      <c r="AA23" s="4">
        <v>382.5</v>
      </c>
      <c r="AB23" s="4">
        <v>59</v>
      </c>
      <c r="AC23" s="4">
        <v>1290</v>
      </c>
    </row>
    <row r="24" spans="1:29" x14ac:dyDescent="0.5">
      <c r="A24" s="2" t="s">
        <v>35</v>
      </c>
      <c r="B24" s="3">
        <v>22</v>
      </c>
      <c r="C24" s="4">
        <v>75</v>
      </c>
      <c r="D24" s="4">
        <v>55</v>
      </c>
      <c r="E24" s="4">
        <v>1345</v>
      </c>
      <c r="F24" s="4">
        <v>57</v>
      </c>
      <c r="G24" s="4">
        <v>53</v>
      </c>
      <c r="H24" s="4">
        <v>1213</v>
      </c>
      <c r="I24" s="4">
        <v>109.5</v>
      </c>
      <c r="J24" s="4">
        <v>52</v>
      </c>
      <c r="K24" s="4">
        <v>1080</v>
      </c>
      <c r="L24" s="4">
        <v>36</v>
      </c>
      <c r="M24" s="4">
        <v>55</v>
      </c>
      <c r="N24" s="4">
        <v>1206</v>
      </c>
      <c r="O24" s="4">
        <v>56</v>
      </c>
      <c r="P24" s="4">
        <v>56</v>
      </c>
      <c r="Q24" s="4">
        <v>1107</v>
      </c>
      <c r="R24" s="4">
        <v>70</v>
      </c>
      <c r="S24" s="4">
        <v>47</v>
      </c>
      <c r="T24" s="4">
        <v>815</v>
      </c>
      <c r="U24" s="4">
        <v>241.5</v>
      </c>
      <c r="V24" s="4">
        <v>57</v>
      </c>
      <c r="W24" s="4">
        <v>1289</v>
      </c>
      <c r="X24" s="4">
        <v>162</v>
      </c>
      <c r="Y24" s="4">
        <v>55</v>
      </c>
      <c r="Z24" s="4">
        <v>1098</v>
      </c>
      <c r="AA24" s="4">
        <v>403.5</v>
      </c>
      <c r="AB24" s="4">
        <v>57</v>
      </c>
      <c r="AC24" s="4">
        <v>1207</v>
      </c>
    </row>
    <row r="25" spans="1:29" x14ac:dyDescent="0.5">
      <c r="A25" s="2" t="s">
        <v>36</v>
      </c>
      <c r="B25" s="3">
        <v>23</v>
      </c>
      <c r="C25" s="4">
        <v>91</v>
      </c>
      <c r="D25" s="4">
        <v>43</v>
      </c>
      <c r="E25" s="4">
        <v>914</v>
      </c>
      <c r="F25" s="4">
        <v>103</v>
      </c>
      <c r="G25" s="4">
        <v>17</v>
      </c>
      <c r="H25" s="4">
        <v>331</v>
      </c>
      <c r="I25" s="4">
        <v>130</v>
      </c>
      <c r="J25" s="4">
        <v>15</v>
      </c>
      <c r="K25" s="4">
        <v>378</v>
      </c>
      <c r="L25" s="4">
        <v>75</v>
      </c>
      <c r="M25" s="4">
        <v>19</v>
      </c>
      <c r="N25" s="4">
        <v>353</v>
      </c>
      <c r="O25" s="4">
        <v>90</v>
      </c>
      <c r="P25" s="4">
        <v>6</v>
      </c>
      <c r="Q25" s="4">
        <v>98</v>
      </c>
      <c r="R25" s="4">
        <v>90</v>
      </c>
      <c r="S25" s="4">
        <v>11</v>
      </c>
      <c r="T25" s="4">
        <v>161</v>
      </c>
      <c r="U25" s="4">
        <v>324</v>
      </c>
      <c r="V25" s="4">
        <v>25</v>
      </c>
      <c r="W25" s="4">
        <v>430</v>
      </c>
      <c r="X25" s="4">
        <v>255</v>
      </c>
      <c r="Y25" s="4">
        <v>15</v>
      </c>
      <c r="Z25" s="4">
        <v>214</v>
      </c>
      <c r="AA25" s="4">
        <v>579</v>
      </c>
      <c r="AB25" s="4">
        <v>17</v>
      </c>
      <c r="AC25" s="4">
        <v>285</v>
      </c>
    </row>
    <row r="26" spans="1:29" x14ac:dyDescent="0.5">
      <c r="A26" s="2" t="s">
        <v>37</v>
      </c>
      <c r="B26" s="3">
        <v>24</v>
      </c>
      <c r="C26" s="4">
        <v>85</v>
      </c>
      <c r="D26" s="4">
        <v>49</v>
      </c>
      <c r="E26" s="4">
        <v>1148</v>
      </c>
      <c r="F26" s="4">
        <v>77</v>
      </c>
      <c r="G26" s="4">
        <v>44</v>
      </c>
      <c r="H26" s="4">
        <v>854</v>
      </c>
      <c r="I26" s="4">
        <v>130.5</v>
      </c>
      <c r="J26" s="4">
        <v>14</v>
      </c>
      <c r="K26" s="4">
        <v>363</v>
      </c>
      <c r="L26" s="4">
        <v>39</v>
      </c>
      <c r="M26" s="4">
        <v>53</v>
      </c>
      <c r="N26" s="4">
        <v>1136</v>
      </c>
      <c r="O26" s="4">
        <v>64</v>
      </c>
      <c r="P26" s="4">
        <v>48</v>
      </c>
      <c r="Q26" s="4">
        <v>928</v>
      </c>
      <c r="R26" s="4">
        <v>80</v>
      </c>
      <c r="S26" s="4">
        <v>33</v>
      </c>
      <c r="T26" s="4">
        <v>497</v>
      </c>
      <c r="U26" s="4">
        <v>292.5</v>
      </c>
      <c r="V26" s="4">
        <v>40</v>
      </c>
      <c r="W26" s="4">
        <v>821</v>
      </c>
      <c r="X26" s="4">
        <v>183</v>
      </c>
      <c r="Y26" s="4">
        <v>47</v>
      </c>
      <c r="Z26" s="4">
        <v>907</v>
      </c>
      <c r="AA26" s="4">
        <v>475.5</v>
      </c>
      <c r="AB26" s="4">
        <v>45</v>
      </c>
      <c r="AC26" s="4">
        <v>878</v>
      </c>
    </row>
    <row r="27" spans="1:29" x14ac:dyDescent="0.5">
      <c r="A27" s="2" t="s">
        <v>38</v>
      </c>
      <c r="B27" s="3">
        <v>25</v>
      </c>
      <c r="C27" s="4">
        <v>91</v>
      </c>
      <c r="D27" s="4">
        <v>43</v>
      </c>
      <c r="E27" s="4">
        <v>914</v>
      </c>
      <c r="F27" s="4">
        <v>123</v>
      </c>
      <c r="G27" s="4">
        <v>4</v>
      </c>
      <c r="H27" s="4">
        <v>81</v>
      </c>
      <c r="I27" s="4">
        <v>128.5</v>
      </c>
      <c r="J27" s="4">
        <v>21</v>
      </c>
      <c r="K27" s="4">
        <v>441</v>
      </c>
      <c r="L27" s="4">
        <v>98</v>
      </c>
      <c r="M27" s="4">
        <v>5</v>
      </c>
      <c r="N27" s="4">
        <v>53</v>
      </c>
      <c r="O27" s="4">
        <v>80</v>
      </c>
      <c r="P27" s="4">
        <v>25</v>
      </c>
      <c r="Q27" s="4">
        <v>411</v>
      </c>
      <c r="R27" s="4">
        <v>87</v>
      </c>
      <c r="S27" s="4">
        <v>16</v>
      </c>
      <c r="T27" s="4">
        <v>268</v>
      </c>
      <c r="U27" s="4">
        <v>342.5</v>
      </c>
      <c r="V27" s="4">
        <v>7</v>
      </c>
      <c r="W27" s="4">
        <v>208</v>
      </c>
      <c r="X27" s="4">
        <v>265</v>
      </c>
      <c r="Y27" s="4">
        <v>8</v>
      </c>
      <c r="Z27" s="4">
        <v>130</v>
      </c>
      <c r="AA27" s="4">
        <v>607.5</v>
      </c>
      <c r="AB27" s="4">
        <v>6</v>
      </c>
      <c r="AC27" s="4">
        <v>156</v>
      </c>
    </row>
    <row r="28" spans="1:29" x14ac:dyDescent="0.5">
      <c r="A28" s="2" t="s">
        <v>39</v>
      </c>
      <c r="B28" s="3">
        <v>26</v>
      </c>
      <c r="C28" s="4">
        <v>98</v>
      </c>
      <c r="D28" s="4">
        <v>28</v>
      </c>
      <c r="E28" s="4">
        <v>604</v>
      </c>
      <c r="F28" s="4">
        <v>87</v>
      </c>
      <c r="G28" s="4">
        <v>34</v>
      </c>
      <c r="H28" s="4">
        <v>660</v>
      </c>
      <c r="I28" s="4">
        <v>131.5</v>
      </c>
      <c r="J28" s="4">
        <v>13</v>
      </c>
      <c r="K28" s="4">
        <v>323</v>
      </c>
      <c r="L28" s="4">
        <v>60</v>
      </c>
      <c r="M28" s="4">
        <v>32</v>
      </c>
      <c r="N28" s="4">
        <v>683</v>
      </c>
      <c r="O28" s="4">
        <v>75</v>
      </c>
      <c r="P28" s="4">
        <v>34</v>
      </c>
      <c r="Q28" s="4">
        <v>590</v>
      </c>
      <c r="R28" s="4">
        <v>82</v>
      </c>
      <c r="S28" s="4">
        <v>30</v>
      </c>
      <c r="T28" s="4">
        <v>444</v>
      </c>
      <c r="U28" s="4">
        <v>316.5</v>
      </c>
      <c r="V28" s="4">
        <v>28</v>
      </c>
      <c r="W28" s="4">
        <v>511</v>
      </c>
      <c r="X28" s="4">
        <v>217</v>
      </c>
      <c r="Y28" s="4">
        <v>31</v>
      </c>
      <c r="Z28" s="4">
        <v>564</v>
      </c>
      <c r="AA28" s="4">
        <v>533.5</v>
      </c>
      <c r="AB28" s="4">
        <v>32</v>
      </c>
      <c r="AC28" s="4">
        <v>537</v>
      </c>
    </row>
    <row r="29" spans="1:29" x14ac:dyDescent="0.5">
      <c r="A29" s="2" t="s">
        <v>40</v>
      </c>
      <c r="B29" s="3">
        <v>27</v>
      </c>
      <c r="C29" s="4">
        <v>101</v>
      </c>
      <c r="D29" s="4">
        <v>24</v>
      </c>
      <c r="E29" s="4">
        <v>457</v>
      </c>
      <c r="F29" s="4">
        <v>47</v>
      </c>
      <c r="G29" s="4">
        <v>59</v>
      </c>
      <c r="H29" s="4">
        <v>1346</v>
      </c>
      <c r="I29" s="4">
        <v>113</v>
      </c>
      <c r="J29" s="4">
        <v>48</v>
      </c>
      <c r="K29" s="4">
        <v>970</v>
      </c>
      <c r="L29" s="4">
        <v>37</v>
      </c>
      <c r="M29" s="4">
        <v>54</v>
      </c>
      <c r="N29" s="4">
        <v>1187</v>
      </c>
      <c r="O29" s="4">
        <v>78</v>
      </c>
      <c r="P29" s="4">
        <v>28</v>
      </c>
      <c r="Q29" s="4">
        <v>460</v>
      </c>
      <c r="R29" s="4">
        <v>77</v>
      </c>
      <c r="S29" s="4">
        <v>39</v>
      </c>
      <c r="T29" s="4">
        <v>602</v>
      </c>
      <c r="U29" s="4">
        <v>261</v>
      </c>
      <c r="V29" s="4">
        <v>55</v>
      </c>
      <c r="W29" s="4">
        <v>1147</v>
      </c>
      <c r="X29" s="4">
        <v>192</v>
      </c>
      <c r="Y29" s="4">
        <v>45</v>
      </c>
      <c r="Z29" s="4">
        <v>820</v>
      </c>
      <c r="AA29" s="4">
        <v>453</v>
      </c>
      <c r="AB29" s="4">
        <v>50</v>
      </c>
      <c r="AC29" s="4">
        <v>1001</v>
      </c>
    </row>
    <row r="30" spans="1:29" x14ac:dyDescent="0.5">
      <c r="A30" s="2" t="s">
        <v>41</v>
      </c>
      <c r="B30" s="3">
        <v>28</v>
      </c>
      <c r="C30" s="4">
        <v>81</v>
      </c>
      <c r="D30" s="4">
        <v>52</v>
      </c>
      <c r="E30" s="4">
        <v>1254</v>
      </c>
      <c r="F30" s="4">
        <v>83</v>
      </c>
      <c r="G30" s="4">
        <v>37</v>
      </c>
      <c r="H30" s="4">
        <v>740</v>
      </c>
      <c r="I30" s="4">
        <v>112.5</v>
      </c>
      <c r="J30" s="4">
        <v>50</v>
      </c>
      <c r="K30" s="4">
        <v>986</v>
      </c>
      <c r="L30" s="4">
        <v>75</v>
      </c>
      <c r="M30" s="4">
        <v>19</v>
      </c>
      <c r="N30" s="4">
        <v>353</v>
      </c>
      <c r="O30" s="4">
        <v>71</v>
      </c>
      <c r="P30" s="4">
        <v>39</v>
      </c>
      <c r="Q30" s="4">
        <v>726</v>
      </c>
      <c r="R30" s="4">
        <v>77</v>
      </c>
      <c r="S30" s="4">
        <v>39</v>
      </c>
      <c r="T30" s="4">
        <v>602</v>
      </c>
      <c r="U30" s="4">
        <v>276.5</v>
      </c>
      <c r="V30" s="4">
        <v>50</v>
      </c>
      <c r="W30" s="4">
        <v>1007</v>
      </c>
      <c r="X30" s="4">
        <v>223</v>
      </c>
      <c r="Y30" s="4">
        <v>28</v>
      </c>
      <c r="Z30" s="4">
        <v>504</v>
      </c>
      <c r="AA30" s="4">
        <v>499.5</v>
      </c>
      <c r="AB30" s="4">
        <v>40</v>
      </c>
      <c r="AC30" s="4">
        <v>731</v>
      </c>
    </row>
    <row r="31" spans="1:29" x14ac:dyDescent="0.5">
      <c r="A31" s="2" t="s">
        <v>42</v>
      </c>
      <c r="B31" s="3">
        <v>29</v>
      </c>
      <c r="C31" s="4">
        <v>100</v>
      </c>
      <c r="D31" s="4">
        <v>26</v>
      </c>
      <c r="E31" s="4">
        <v>499</v>
      </c>
      <c r="F31" s="4">
        <v>96</v>
      </c>
      <c r="G31" s="4">
        <v>21</v>
      </c>
      <c r="H31" s="4">
        <v>459</v>
      </c>
      <c r="I31" s="4">
        <v>128.5</v>
      </c>
      <c r="J31" s="4">
        <v>21</v>
      </c>
      <c r="K31" s="4">
        <v>441</v>
      </c>
      <c r="L31" s="4">
        <v>83</v>
      </c>
      <c r="M31" s="4">
        <v>11</v>
      </c>
      <c r="N31" s="4">
        <v>213</v>
      </c>
      <c r="O31" s="4">
        <v>84</v>
      </c>
      <c r="P31" s="4">
        <v>18</v>
      </c>
      <c r="Q31" s="4">
        <v>279</v>
      </c>
      <c r="R31" s="4">
        <v>93</v>
      </c>
      <c r="S31" s="4">
        <v>7</v>
      </c>
      <c r="T31" s="4">
        <v>69</v>
      </c>
      <c r="U31" s="4">
        <v>324.5</v>
      </c>
      <c r="V31" s="4">
        <v>24</v>
      </c>
      <c r="W31" s="4">
        <v>424</v>
      </c>
      <c r="X31" s="4">
        <v>260</v>
      </c>
      <c r="Y31" s="4">
        <v>12</v>
      </c>
      <c r="Z31" s="4">
        <v>169</v>
      </c>
      <c r="AA31" s="4">
        <v>584.5</v>
      </c>
      <c r="AB31" s="4">
        <v>14</v>
      </c>
      <c r="AC31" s="4">
        <v>257</v>
      </c>
    </row>
    <row r="32" spans="1:29" x14ac:dyDescent="0.5">
      <c r="A32" s="2" t="s">
        <v>43</v>
      </c>
      <c r="B32" s="3">
        <v>30</v>
      </c>
      <c r="C32" s="4">
        <v>91</v>
      </c>
      <c r="D32" s="4">
        <v>43</v>
      </c>
      <c r="E32" s="4">
        <v>914</v>
      </c>
      <c r="F32" s="4">
        <v>89</v>
      </c>
      <c r="G32" s="4">
        <v>30</v>
      </c>
      <c r="H32" s="4">
        <v>619</v>
      </c>
      <c r="I32" s="4">
        <v>134</v>
      </c>
      <c r="J32" s="4">
        <v>11</v>
      </c>
      <c r="K32" s="4">
        <v>243</v>
      </c>
      <c r="L32" s="4">
        <v>65</v>
      </c>
      <c r="M32" s="4">
        <v>27</v>
      </c>
      <c r="N32" s="4">
        <v>570</v>
      </c>
      <c r="O32" s="4">
        <v>82</v>
      </c>
      <c r="P32" s="4">
        <v>20</v>
      </c>
      <c r="Q32" s="4">
        <v>347</v>
      </c>
      <c r="R32" s="4">
        <v>76</v>
      </c>
      <c r="S32" s="4">
        <v>41</v>
      </c>
      <c r="T32" s="4">
        <v>640</v>
      </c>
      <c r="U32" s="4">
        <v>314</v>
      </c>
      <c r="V32" s="4">
        <v>32</v>
      </c>
      <c r="W32" s="4">
        <v>540</v>
      </c>
      <c r="X32" s="4">
        <v>223</v>
      </c>
      <c r="Y32" s="4">
        <v>28</v>
      </c>
      <c r="Z32" s="4">
        <v>504</v>
      </c>
      <c r="AA32" s="4">
        <v>537</v>
      </c>
      <c r="AB32" s="4">
        <v>30</v>
      </c>
      <c r="AC32" s="4">
        <v>516</v>
      </c>
    </row>
    <row r="33" spans="1:29" x14ac:dyDescent="0.5">
      <c r="A33" s="2" t="s">
        <v>44</v>
      </c>
      <c r="B33" s="3">
        <v>31</v>
      </c>
      <c r="C33" s="4">
        <v>84</v>
      </c>
      <c r="D33" s="4">
        <v>50</v>
      </c>
      <c r="E33" s="4">
        <v>1173</v>
      </c>
      <c r="F33" s="4">
        <v>78</v>
      </c>
      <c r="G33" s="4">
        <v>42</v>
      </c>
      <c r="H33" s="4">
        <v>835</v>
      </c>
      <c r="I33" s="4">
        <v>105.5</v>
      </c>
      <c r="J33" s="4">
        <v>54</v>
      </c>
      <c r="K33" s="4">
        <v>1164</v>
      </c>
      <c r="L33" s="4">
        <v>48</v>
      </c>
      <c r="M33" s="4">
        <v>47</v>
      </c>
      <c r="N33" s="4">
        <v>948</v>
      </c>
      <c r="O33" s="4">
        <v>62</v>
      </c>
      <c r="P33" s="4">
        <v>51</v>
      </c>
      <c r="Q33" s="4">
        <v>987</v>
      </c>
      <c r="R33" s="4">
        <v>67</v>
      </c>
      <c r="S33" s="4">
        <v>51</v>
      </c>
      <c r="T33" s="4">
        <v>918</v>
      </c>
      <c r="U33" s="4">
        <v>267.5</v>
      </c>
      <c r="V33" s="4">
        <v>54</v>
      </c>
      <c r="W33" s="4">
        <v>1080</v>
      </c>
      <c r="X33" s="4">
        <v>177</v>
      </c>
      <c r="Y33" s="4">
        <v>49</v>
      </c>
      <c r="Z33" s="4">
        <v>968</v>
      </c>
      <c r="AA33" s="4">
        <v>444.5</v>
      </c>
      <c r="AB33" s="4">
        <v>54</v>
      </c>
      <c r="AC33" s="4">
        <v>1048</v>
      </c>
    </row>
    <row r="34" spans="1:29" x14ac:dyDescent="0.5">
      <c r="A34" s="2" t="s">
        <v>45</v>
      </c>
      <c r="B34" s="3">
        <v>32</v>
      </c>
      <c r="C34" s="4">
        <v>108</v>
      </c>
      <c r="D34" s="4">
        <v>13</v>
      </c>
      <c r="E34" s="4">
        <v>207</v>
      </c>
      <c r="F34" s="4">
        <v>104</v>
      </c>
      <c r="G34" s="4">
        <v>15</v>
      </c>
      <c r="H34" s="4">
        <v>314</v>
      </c>
      <c r="I34" s="4">
        <v>102.5</v>
      </c>
      <c r="J34" s="4">
        <v>56</v>
      </c>
      <c r="K34" s="4">
        <v>1213</v>
      </c>
      <c r="L34" s="4">
        <v>76</v>
      </c>
      <c r="M34" s="4">
        <v>18</v>
      </c>
      <c r="N34" s="4">
        <v>330</v>
      </c>
      <c r="O34" s="4">
        <v>80</v>
      </c>
      <c r="P34" s="4">
        <v>25</v>
      </c>
      <c r="Q34" s="4">
        <v>411</v>
      </c>
      <c r="R34" s="4">
        <v>78</v>
      </c>
      <c r="S34" s="4">
        <v>36</v>
      </c>
      <c r="T34" s="4">
        <v>568</v>
      </c>
      <c r="U34" s="4">
        <v>314.5</v>
      </c>
      <c r="V34" s="4">
        <v>30</v>
      </c>
      <c r="W34" s="4">
        <v>536</v>
      </c>
      <c r="X34" s="4">
        <v>234</v>
      </c>
      <c r="Y34" s="4">
        <v>23</v>
      </c>
      <c r="Z34" s="4">
        <v>407</v>
      </c>
      <c r="AA34" s="4">
        <v>548.5</v>
      </c>
      <c r="AB34" s="4">
        <v>23</v>
      </c>
      <c r="AC34" s="4">
        <v>449</v>
      </c>
    </row>
    <row r="35" spans="1:29" x14ac:dyDescent="0.5">
      <c r="A35" s="2" t="s">
        <v>46</v>
      </c>
      <c r="B35" s="3">
        <v>33</v>
      </c>
      <c r="C35" s="4">
        <v>112</v>
      </c>
      <c r="D35" s="4">
        <v>4</v>
      </c>
      <c r="E35" s="4">
        <v>104</v>
      </c>
      <c r="F35" s="4">
        <v>89</v>
      </c>
      <c r="G35" s="4">
        <v>30</v>
      </c>
      <c r="H35" s="4">
        <v>619</v>
      </c>
      <c r="I35" s="4">
        <v>130</v>
      </c>
      <c r="J35" s="4">
        <v>15</v>
      </c>
      <c r="K35" s="4">
        <v>378</v>
      </c>
      <c r="L35" s="4">
        <v>49</v>
      </c>
      <c r="M35" s="4">
        <v>44</v>
      </c>
      <c r="N35" s="4">
        <v>926</v>
      </c>
      <c r="O35" s="4">
        <v>68</v>
      </c>
      <c r="P35" s="4">
        <v>45</v>
      </c>
      <c r="Q35" s="4">
        <v>803</v>
      </c>
      <c r="R35" s="4">
        <v>70</v>
      </c>
      <c r="S35" s="4">
        <v>47</v>
      </c>
      <c r="T35" s="4">
        <v>815</v>
      </c>
      <c r="U35" s="4">
        <v>331</v>
      </c>
      <c r="V35" s="4">
        <v>18</v>
      </c>
      <c r="W35" s="4">
        <v>343</v>
      </c>
      <c r="X35" s="4">
        <v>187</v>
      </c>
      <c r="Y35" s="4">
        <v>46</v>
      </c>
      <c r="Z35" s="4">
        <v>870</v>
      </c>
      <c r="AA35" s="4">
        <v>518</v>
      </c>
      <c r="AB35" s="4">
        <v>36</v>
      </c>
      <c r="AC35" s="4">
        <v>628</v>
      </c>
    </row>
    <row r="36" spans="1:29" x14ac:dyDescent="0.5">
      <c r="A36" s="2" t="s">
        <v>47</v>
      </c>
      <c r="B36" s="3">
        <v>34</v>
      </c>
      <c r="C36" s="4">
        <v>84</v>
      </c>
      <c r="D36" s="4">
        <v>50</v>
      </c>
      <c r="E36" s="4">
        <v>1173</v>
      </c>
      <c r="F36" s="4">
        <v>85</v>
      </c>
      <c r="G36" s="4">
        <v>36</v>
      </c>
      <c r="H36" s="4">
        <v>707</v>
      </c>
      <c r="I36" s="4">
        <v>129</v>
      </c>
      <c r="J36" s="4">
        <v>19</v>
      </c>
      <c r="K36" s="4">
        <v>425</v>
      </c>
      <c r="L36" s="4">
        <v>30</v>
      </c>
      <c r="M36" s="4">
        <v>59</v>
      </c>
      <c r="N36" s="4">
        <v>1306</v>
      </c>
      <c r="O36" s="4">
        <v>64</v>
      </c>
      <c r="P36" s="4">
        <v>48</v>
      </c>
      <c r="Q36" s="4">
        <v>928</v>
      </c>
      <c r="R36" s="4">
        <v>57</v>
      </c>
      <c r="S36" s="4">
        <v>56</v>
      </c>
      <c r="T36" s="4">
        <v>1140</v>
      </c>
      <c r="U36" s="4">
        <v>298</v>
      </c>
      <c r="V36" s="4">
        <v>37</v>
      </c>
      <c r="W36" s="4">
        <v>752</v>
      </c>
      <c r="X36" s="4">
        <v>151</v>
      </c>
      <c r="Y36" s="4">
        <v>57</v>
      </c>
      <c r="Z36" s="4">
        <v>1178</v>
      </c>
      <c r="AA36" s="4">
        <v>449</v>
      </c>
      <c r="AB36" s="4">
        <v>52</v>
      </c>
      <c r="AC36" s="4">
        <v>1021</v>
      </c>
    </row>
    <row r="37" spans="1:29" x14ac:dyDescent="0.5">
      <c r="A37" s="2" t="s">
        <v>48</v>
      </c>
      <c r="B37" s="3">
        <v>35</v>
      </c>
      <c r="C37" s="4">
        <v>109</v>
      </c>
      <c r="D37" s="4">
        <v>10</v>
      </c>
      <c r="E37" s="4">
        <v>175</v>
      </c>
      <c r="F37" s="4">
        <v>129</v>
      </c>
      <c r="G37" s="4">
        <v>3</v>
      </c>
      <c r="H37" s="4">
        <v>43</v>
      </c>
      <c r="I37" s="4">
        <v>110.5</v>
      </c>
      <c r="J37" s="4">
        <v>51</v>
      </c>
      <c r="K37" s="4">
        <v>1041</v>
      </c>
      <c r="L37" s="4">
        <v>61</v>
      </c>
      <c r="M37" s="4">
        <v>30</v>
      </c>
      <c r="N37" s="4">
        <v>655</v>
      </c>
      <c r="O37" s="4">
        <v>83</v>
      </c>
      <c r="P37" s="4">
        <v>19</v>
      </c>
      <c r="Q37" s="4">
        <v>337</v>
      </c>
      <c r="R37" s="4">
        <v>91</v>
      </c>
      <c r="S37" s="4">
        <v>8</v>
      </c>
      <c r="T37" s="4">
        <v>128</v>
      </c>
      <c r="U37" s="4">
        <v>348.5</v>
      </c>
      <c r="V37" s="4">
        <v>4</v>
      </c>
      <c r="W37" s="4">
        <v>160</v>
      </c>
      <c r="X37" s="4">
        <v>235</v>
      </c>
      <c r="Y37" s="4">
        <v>22</v>
      </c>
      <c r="Z37" s="4">
        <v>403</v>
      </c>
      <c r="AA37" s="4">
        <v>583.5</v>
      </c>
      <c r="AB37" s="4">
        <v>15</v>
      </c>
      <c r="AC37" s="4">
        <v>261</v>
      </c>
    </row>
    <row r="38" spans="1:29" x14ac:dyDescent="0.5">
      <c r="A38" s="2" t="s">
        <v>49</v>
      </c>
      <c r="B38" s="3">
        <v>36</v>
      </c>
      <c r="C38" s="4">
        <v>91</v>
      </c>
      <c r="D38" s="4">
        <v>43</v>
      </c>
      <c r="E38" s="4">
        <v>914</v>
      </c>
      <c r="F38" s="4">
        <v>109</v>
      </c>
      <c r="G38" s="4">
        <v>11</v>
      </c>
      <c r="H38" s="4">
        <v>227</v>
      </c>
      <c r="I38" s="4">
        <v>138.5</v>
      </c>
      <c r="J38" s="4">
        <v>3</v>
      </c>
      <c r="K38" s="4">
        <v>94</v>
      </c>
      <c r="L38" s="4">
        <v>75</v>
      </c>
      <c r="M38" s="4">
        <v>19</v>
      </c>
      <c r="N38" s="4">
        <v>353</v>
      </c>
      <c r="O38" s="4">
        <v>94</v>
      </c>
      <c r="P38" s="4">
        <v>4</v>
      </c>
      <c r="Q38" s="4">
        <v>27</v>
      </c>
      <c r="R38" s="4">
        <v>98</v>
      </c>
      <c r="S38" s="4">
        <v>1</v>
      </c>
      <c r="T38" s="4">
        <v>2</v>
      </c>
      <c r="U38" s="4">
        <v>338.5</v>
      </c>
      <c r="V38" s="4">
        <v>10</v>
      </c>
      <c r="W38" s="4">
        <v>247</v>
      </c>
      <c r="X38" s="4">
        <v>267</v>
      </c>
      <c r="Y38" s="4">
        <v>7</v>
      </c>
      <c r="Z38" s="4">
        <v>118</v>
      </c>
      <c r="AA38" s="4">
        <v>605.5</v>
      </c>
      <c r="AB38" s="4">
        <v>8</v>
      </c>
      <c r="AC38" s="4">
        <v>160</v>
      </c>
    </row>
    <row r="39" spans="1:29" x14ac:dyDescent="0.5">
      <c r="A39" s="2" t="s">
        <v>50</v>
      </c>
      <c r="B39" s="3">
        <v>37</v>
      </c>
      <c r="C39" s="4">
        <v>107</v>
      </c>
      <c r="D39" s="4">
        <v>14</v>
      </c>
      <c r="E39" s="4">
        <v>243</v>
      </c>
      <c r="F39" s="4">
        <v>95</v>
      </c>
      <c r="G39" s="4">
        <v>22</v>
      </c>
      <c r="H39" s="4">
        <v>483</v>
      </c>
      <c r="I39" s="4">
        <v>134.5</v>
      </c>
      <c r="J39" s="4">
        <v>9</v>
      </c>
      <c r="K39" s="4">
        <v>231</v>
      </c>
      <c r="L39" s="4">
        <v>80</v>
      </c>
      <c r="M39" s="4">
        <v>15</v>
      </c>
      <c r="N39" s="4">
        <v>264</v>
      </c>
      <c r="O39" s="4">
        <v>86</v>
      </c>
      <c r="P39" s="4">
        <v>14</v>
      </c>
      <c r="Q39" s="4">
        <v>220</v>
      </c>
      <c r="R39" s="4">
        <v>94</v>
      </c>
      <c r="S39" s="4">
        <v>5</v>
      </c>
      <c r="T39" s="4">
        <v>50</v>
      </c>
      <c r="U39" s="4">
        <v>336.5</v>
      </c>
      <c r="V39" s="4">
        <v>13</v>
      </c>
      <c r="W39" s="4">
        <v>279</v>
      </c>
      <c r="X39" s="4">
        <v>260</v>
      </c>
      <c r="Y39" s="4">
        <v>12</v>
      </c>
      <c r="Z39" s="4">
        <v>169</v>
      </c>
      <c r="AA39" s="4">
        <v>596.5</v>
      </c>
      <c r="AB39" s="4">
        <v>11</v>
      </c>
      <c r="AC39" s="4">
        <v>194</v>
      </c>
    </row>
    <row r="40" spans="1:29" x14ac:dyDescent="0.5">
      <c r="A40" s="2" t="s">
        <v>51</v>
      </c>
      <c r="B40" s="3">
        <v>38</v>
      </c>
      <c r="C40" s="4">
        <v>94</v>
      </c>
      <c r="D40" s="4">
        <v>37</v>
      </c>
      <c r="E40" s="4">
        <v>795</v>
      </c>
      <c r="F40" s="4">
        <v>61</v>
      </c>
      <c r="G40" s="4">
        <v>52</v>
      </c>
      <c r="H40" s="4">
        <v>1151</v>
      </c>
      <c r="I40" s="4">
        <v>117</v>
      </c>
      <c r="J40" s="4">
        <v>42</v>
      </c>
      <c r="K40" s="4">
        <v>847</v>
      </c>
      <c r="L40" s="4">
        <v>43</v>
      </c>
      <c r="M40" s="4">
        <v>49</v>
      </c>
      <c r="N40" s="4">
        <v>1046</v>
      </c>
      <c r="O40" s="4">
        <v>70</v>
      </c>
      <c r="P40" s="4">
        <v>41</v>
      </c>
      <c r="Q40" s="4">
        <v>743</v>
      </c>
      <c r="R40" s="4">
        <v>80</v>
      </c>
      <c r="S40" s="4">
        <v>33</v>
      </c>
      <c r="T40" s="4">
        <v>497</v>
      </c>
      <c r="U40" s="4">
        <v>272</v>
      </c>
      <c r="V40" s="4">
        <v>51</v>
      </c>
      <c r="W40" s="4">
        <v>1048</v>
      </c>
      <c r="X40" s="4">
        <v>193</v>
      </c>
      <c r="Y40" s="4">
        <v>44</v>
      </c>
      <c r="Z40" s="4">
        <v>812</v>
      </c>
      <c r="AA40" s="4">
        <v>465</v>
      </c>
      <c r="AB40" s="4">
        <v>48</v>
      </c>
      <c r="AC40" s="4">
        <v>925</v>
      </c>
    </row>
    <row r="41" spans="1:29" x14ac:dyDescent="0.5">
      <c r="A41" s="2" t="s">
        <v>52</v>
      </c>
      <c r="B41" s="3">
        <v>39</v>
      </c>
      <c r="C41" s="4">
        <v>75</v>
      </c>
      <c r="D41" s="4">
        <v>55</v>
      </c>
      <c r="E41" s="4">
        <v>1345</v>
      </c>
      <c r="F41" s="4">
        <v>93</v>
      </c>
      <c r="G41" s="4">
        <v>26</v>
      </c>
      <c r="H41" s="4">
        <v>526</v>
      </c>
      <c r="I41" s="4">
        <v>101</v>
      </c>
      <c r="J41" s="4">
        <v>57</v>
      </c>
      <c r="K41" s="4">
        <v>1231</v>
      </c>
      <c r="L41" s="4">
        <v>55</v>
      </c>
      <c r="M41" s="4">
        <v>36</v>
      </c>
      <c r="N41" s="4">
        <v>810</v>
      </c>
      <c r="O41" s="4">
        <v>86</v>
      </c>
      <c r="P41" s="4">
        <v>14</v>
      </c>
      <c r="Q41" s="4">
        <v>220</v>
      </c>
      <c r="R41" s="4">
        <v>84</v>
      </c>
      <c r="S41" s="4">
        <v>23</v>
      </c>
      <c r="T41" s="4">
        <v>379</v>
      </c>
      <c r="U41" s="4">
        <v>269</v>
      </c>
      <c r="V41" s="4">
        <v>53</v>
      </c>
      <c r="W41" s="4">
        <v>1067</v>
      </c>
      <c r="X41" s="4">
        <v>225</v>
      </c>
      <c r="Y41" s="4">
        <v>26</v>
      </c>
      <c r="Z41" s="4">
        <v>485</v>
      </c>
      <c r="AA41" s="4">
        <v>494</v>
      </c>
      <c r="AB41" s="4">
        <v>42</v>
      </c>
      <c r="AC41" s="4">
        <v>761</v>
      </c>
    </row>
    <row r="42" spans="1:29" x14ac:dyDescent="0.5">
      <c r="A42" s="2" t="s">
        <v>53</v>
      </c>
      <c r="B42" s="3">
        <v>40</v>
      </c>
      <c r="C42" s="4">
        <v>96</v>
      </c>
      <c r="D42" s="4">
        <v>33</v>
      </c>
      <c r="E42" s="4">
        <v>696</v>
      </c>
      <c r="F42" s="4">
        <v>69</v>
      </c>
      <c r="G42" s="4">
        <v>48</v>
      </c>
      <c r="H42" s="4">
        <v>1027</v>
      </c>
      <c r="I42" s="4">
        <v>126</v>
      </c>
      <c r="J42" s="4">
        <v>26</v>
      </c>
      <c r="K42" s="4">
        <v>521</v>
      </c>
      <c r="L42" s="4">
        <v>52</v>
      </c>
      <c r="M42" s="4">
        <v>38</v>
      </c>
      <c r="N42" s="4">
        <v>860</v>
      </c>
      <c r="O42" s="4">
        <v>77</v>
      </c>
      <c r="P42" s="4">
        <v>30</v>
      </c>
      <c r="Q42" s="4">
        <v>518</v>
      </c>
      <c r="R42" s="4">
        <v>83</v>
      </c>
      <c r="S42" s="4">
        <v>26</v>
      </c>
      <c r="T42" s="4">
        <v>407</v>
      </c>
      <c r="U42" s="4">
        <v>291</v>
      </c>
      <c r="V42" s="4">
        <v>42</v>
      </c>
      <c r="W42" s="4">
        <v>849</v>
      </c>
      <c r="X42" s="4">
        <v>212</v>
      </c>
      <c r="Y42" s="4">
        <v>33</v>
      </c>
      <c r="Z42" s="4">
        <v>615</v>
      </c>
      <c r="AA42" s="4">
        <v>503</v>
      </c>
      <c r="AB42" s="4">
        <v>38</v>
      </c>
      <c r="AC42" s="4">
        <v>711</v>
      </c>
    </row>
    <row r="43" spans="1:29" x14ac:dyDescent="0.5">
      <c r="A43" s="2" t="s">
        <v>54</v>
      </c>
      <c r="B43" s="3">
        <v>41</v>
      </c>
      <c r="C43" s="4">
        <v>94</v>
      </c>
      <c r="D43" s="4">
        <v>37</v>
      </c>
      <c r="E43" s="4">
        <v>795</v>
      </c>
      <c r="F43" s="4">
        <v>115</v>
      </c>
      <c r="G43" s="4">
        <v>7</v>
      </c>
      <c r="H43" s="4">
        <v>147</v>
      </c>
      <c r="I43" s="4">
        <v>115</v>
      </c>
      <c r="J43" s="4">
        <v>44</v>
      </c>
      <c r="K43" s="4">
        <v>916</v>
      </c>
      <c r="L43" s="4">
        <v>93</v>
      </c>
      <c r="M43" s="4">
        <v>6</v>
      </c>
      <c r="N43" s="4">
        <v>88</v>
      </c>
      <c r="O43" s="4">
        <v>96</v>
      </c>
      <c r="P43" s="4">
        <v>2</v>
      </c>
      <c r="Q43" s="4">
        <v>11</v>
      </c>
      <c r="R43" s="4">
        <v>94</v>
      </c>
      <c r="S43" s="4">
        <v>5</v>
      </c>
      <c r="T43" s="4">
        <v>50</v>
      </c>
      <c r="U43" s="4">
        <v>324</v>
      </c>
      <c r="V43" s="4">
        <v>25</v>
      </c>
      <c r="W43" s="4">
        <v>430</v>
      </c>
      <c r="X43" s="4">
        <v>283</v>
      </c>
      <c r="Y43" s="4">
        <v>3</v>
      </c>
      <c r="Z43" s="4">
        <v>39</v>
      </c>
      <c r="AA43" s="4">
        <v>607</v>
      </c>
      <c r="AB43" s="4">
        <v>7</v>
      </c>
      <c r="AC43" s="4">
        <v>157</v>
      </c>
    </row>
    <row r="44" spans="1:29" x14ac:dyDescent="0.5">
      <c r="A44" s="2" t="s">
        <v>55</v>
      </c>
      <c r="B44" s="3">
        <v>42</v>
      </c>
      <c r="C44" s="4">
        <v>77</v>
      </c>
      <c r="D44" s="4">
        <v>54</v>
      </c>
      <c r="E44" s="4">
        <v>1325</v>
      </c>
      <c r="F44" s="4">
        <v>121</v>
      </c>
      <c r="G44" s="4">
        <v>6</v>
      </c>
      <c r="H44" s="4">
        <v>100</v>
      </c>
      <c r="I44" s="4">
        <v>121.5</v>
      </c>
      <c r="J44" s="4">
        <v>38</v>
      </c>
      <c r="K44" s="4">
        <v>691</v>
      </c>
      <c r="L44" s="4">
        <v>65</v>
      </c>
      <c r="M44" s="4">
        <v>27</v>
      </c>
      <c r="N44" s="4">
        <v>570</v>
      </c>
      <c r="O44" s="4">
        <v>82</v>
      </c>
      <c r="P44" s="4">
        <v>20</v>
      </c>
      <c r="Q44" s="4">
        <v>347</v>
      </c>
      <c r="R44" s="4">
        <v>91</v>
      </c>
      <c r="S44" s="4">
        <v>8</v>
      </c>
      <c r="T44" s="4">
        <v>128</v>
      </c>
      <c r="U44" s="4">
        <v>319.5</v>
      </c>
      <c r="V44" s="4">
        <v>27</v>
      </c>
      <c r="W44" s="4">
        <v>482</v>
      </c>
      <c r="X44" s="4">
        <v>238</v>
      </c>
      <c r="Y44" s="4">
        <v>20</v>
      </c>
      <c r="Z44" s="4">
        <v>363</v>
      </c>
      <c r="AA44" s="4">
        <v>557.5</v>
      </c>
      <c r="AB44" s="4">
        <v>20</v>
      </c>
      <c r="AC44" s="4">
        <v>390</v>
      </c>
    </row>
    <row r="45" spans="1:29" x14ac:dyDescent="0.5">
      <c r="A45" s="2" t="s">
        <v>56</v>
      </c>
      <c r="B45" s="3">
        <v>43</v>
      </c>
      <c r="C45" s="4">
        <v>104</v>
      </c>
      <c r="D45" s="4">
        <v>20</v>
      </c>
      <c r="E45" s="4">
        <v>339</v>
      </c>
      <c r="F45" s="4">
        <v>94</v>
      </c>
      <c r="G45" s="4">
        <v>25</v>
      </c>
      <c r="H45" s="4">
        <v>510</v>
      </c>
      <c r="I45" s="4">
        <v>130</v>
      </c>
      <c r="J45" s="4">
        <v>15</v>
      </c>
      <c r="K45" s="4">
        <v>378</v>
      </c>
      <c r="L45" s="4">
        <v>32</v>
      </c>
      <c r="M45" s="4">
        <v>57</v>
      </c>
      <c r="N45" s="4">
        <v>1272</v>
      </c>
      <c r="O45" s="4">
        <v>76</v>
      </c>
      <c r="P45" s="4">
        <v>32</v>
      </c>
      <c r="Q45" s="4">
        <v>534</v>
      </c>
      <c r="R45" s="4">
        <v>87</v>
      </c>
      <c r="S45" s="4">
        <v>16</v>
      </c>
      <c r="T45" s="4">
        <v>268</v>
      </c>
      <c r="U45" s="4">
        <v>328</v>
      </c>
      <c r="V45" s="4">
        <v>23</v>
      </c>
      <c r="W45" s="4">
        <v>371</v>
      </c>
      <c r="X45" s="4">
        <v>195</v>
      </c>
      <c r="Y45" s="4">
        <v>43</v>
      </c>
      <c r="Z45" s="4">
        <v>796</v>
      </c>
      <c r="AA45" s="4">
        <v>523</v>
      </c>
      <c r="AB45" s="4">
        <v>34</v>
      </c>
      <c r="AC45" s="4">
        <v>600</v>
      </c>
    </row>
    <row r="46" spans="1:29" x14ac:dyDescent="0.5">
      <c r="A46" s="2" t="s">
        <v>57</v>
      </c>
      <c r="B46" s="3">
        <v>44</v>
      </c>
      <c r="C46" s="4">
        <v>114</v>
      </c>
      <c r="D46" s="4">
        <v>2</v>
      </c>
      <c r="E46" s="4">
        <v>61</v>
      </c>
      <c r="F46" s="4">
        <v>133</v>
      </c>
      <c r="G46" s="4">
        <v>1</v>
      </c>
      <c r="H46" s="4">
        <v>28</v>
      </c>
      <c r="I46" s="4">
        <v>141</v>
      </c>
      <c r="J46" s="4">
        <v>1</v>
      </c>
      <c r="K46" s="4">
        <v>49</v>
      </c>
      <c r="L46" s="4">
        <v>101</v>
      </c>
      <c r="M46" s="4">
        <v>3</v>
      </c>
      <c r="N46" s="4">
        <v>34</v>
      </c>
      <c r="O46" s="4">
        <v>90</v>
      </c>
      <c r="P46" s="4">
        <v>6</v>
      </c>
      <c r="Q46" s="4">
        <v>98</v>
      </c>
      <c r="R46" s="4">
        <v>90</v>
      </c>
      <c r="S46" s="4">
        <v>11</v>
      </c>
      <c r="T46" s="4">
        <v>161</v>
      </c>
      <c r="U46" s="4">
        <v>388</v>
      </c>
      <c r="V46" s="4">
        <v>1</v>
      </c>
      <c r="W46" s="4">
        <v>14</v>
      </c>
      <c r="X46" s="4">
        <v>281</v>
      </c>
      <c r="Y46" s="4">
        <v>4</v>
      </c>
      <c r="Z46" s="4">
        <v>45</v>
      </c>
      <c r="AA46" s="4">
        <v>669</v>
      </c>
      <c r="AB46" s="4">
        <v>1</v>
      </c>
      <c r="AC46" s="4">
        <v>16</v>
      </c>
    </row>
    <row r="47" spans="1:29" x14ac:dyDescent="0.5">
      <c r="A47" s="2" t="s">
        <v>58</v>
      </c>
      <c r="B47" s="3">
        <v>45</v>
      </c>
      <c r="C47" s="4">
        <v>93</v>
      </c>
      <c r="D47" s="4">
        <v>39</v>
      </c>
      <c r="E47" s="4">
        <v>824</v>
      </c>
      <c r="F47" s="4">
        <v>112</v>
      </c>
      <c r="G47" s="4">
        <v>8</v>
      </c>
      <c r="H47" s="4">
        <v>181</v>
      </c>
      <c r="I47" s="4">
        <v>138</v>
      </c>
      <c r="J47" s="4">
        <v>6</v>
      </c>
      <c r="K47" s="4">
        <v>114</v>
      </c>
      <c r="L47" s="4">
        <v>72</v>
      </c>
      <c r="M47" s="4">
        <v>23</v>
      </c>
      <c r="N47" s="4">
        <v>427</v>
      </c>
      <c r="O47" s="4">
        <v>82</v>
      </c>
      <c r="P47" s="4">
        <v>20</v>
      </c>
      <c r="Q47" s="4">
        <v>347</v>
      </c>
      <c r="R47" s="4">
        <v>82</v>
      </c>
      <c r="S47" s="4">
        <v>30</v>
      </c>
      <c r="T47" s="4">
        <v>444</v>
      </c>
      <c r="U47" s="4">
        <v>343</v>
      </c>
      <c r="V47" s="4">
        <v>6</v>
      </c>
      <c r="W47" s="4">
        <v>202</v>
      </c>
      <c r="X47" s="4">
        <v>236</v>
      </c>
      <c r="Y47" s="4">
        <v>21</v>
      </c>
      <c r="Z47" s="4">
        <v>389</v>
      </c>
      <c r="AA47" s="4">
        <v>579</v>
      </c>
      <c r="AB47" s="4">
        <v>17</v>
      </c>
      <c r="AC47" s="4">
        <v>285</v>
      </c>
    </row>
    <row r="48" spans="1:29" x14ac:dyDescent="0.5">
      <c r="A48" s="2" t="s">
        <v>59</v>
      </c>
      <c r="B48" s="3">
        <v>46</v>
      </c>
      <c r="C48" s="4">
        <v>91</v>
      </c>
      <c r="D48" s="4">
        <v>43</v>
      </c>
      <c r="E48" s="4">
        <v>914</v>
      </c>
      <c r="F48" s="4">
        <v>80</v>
      </c>
      <c r="G48" s="4">
        <v>40</v>
      </c>
      <c r="H48" s="4">
        <v>800</v>
      </c>
      <c r="I48" s="4">
        <v>107.5</v>
      </c>
      <c r="J48" s="4">
        <v>53</v>
      </c>
      <c r="K48" s="4">
        <v>1126</v>
      </c>
      <c r="L48" s="4">
        <v>51</v>
      </c>
      <c r="M48" s="4">
        <v>40</v>
      </c>
      <c r="N48" s="4">
        <v>883</v>
      </c>
      <c r="O48" s="4">
        <v>64</v>
      </c>
      <c r="P48" s="4">
        <v>48</v>
      </c>
      <c r="Q48" s="4">
        <v>928</v>
      </c>
      <c r="R48" s="4">
        <v>61</v>
      </c>
      <c r="S48" s="4">
        <v>55</v>
      </c>
      <c r="T48" s="4">
        <v>1059</v>
      </c>
      <c r="U48" s="4">
        <v>278.5</v>
      </c>
      <c r="V48" s="4">
        <v>49</v>
      </c>
      <c r="W48" s="4">
        <v>981</v>
      </c>
      <c r="X48" s="4">
        <v>176</v>
      </c>
      <c r="Y48" s="4">
        <v>51</v>
      </c>
      <c r="Z48" s="4">
        <v>975</v>
      </c>
      <c r="AA48" s="4">
        <v>454.5</v>
      </c>
      <c r="AB48" s="4">
        <v>49</v>
      </c>
      <c r="AC48" s="4">
        <v>992</v>
      </c>
    </row>
    <row r="49" spans="1:29" x14ac:dyDescent="0.5">
      <c r="A49" s="2" t="s">
        <v>60</v>
      </c>
      <c r="B49" s="3">
        <v>47</v>
      </c>
      <c r="C49" s="4">
        <v>96</v>
      </c>
      <c r="D49" s="4">
        <v>33</v>
      </c>
      <c r="E49" s="4">
        <v>696</v>
      </c>
      <c r="F49" s="4">
        <v>83</v>
      </c>
      <c r="G49" s="4">
        <v>37</v>
      </c>
      <c r="H49" s="4">
        <v>740</v>
      </c>
      <c r="I49" s="4">
        <v>128.5</v>
      </c>
      <c r="J49" s="4">
        <v>21</v>
      </c>
      <c r="K49" s="4">
        <v>441</v>
      </c>
      <c r="L49" s="4">
        <v>53</v>
      </c>
      <c r="M49" s="4">
        <v>37</v>
      </c>
      <c r="N49" s="4">
        <v>843</v>
      </c>
      <c r="O49" s="4">
        <v>59</v>
      </c>
      <c r="P49" s="4">
        <v>53</v>
      </c>
      <c r="Q49" s="4">
        <v>1061</v>
      </c>
      <c r="R49" s="4">
        <v>65</v>
      </c>
      <c r="S49" s="4">
        <v>53</v>
      </c>
      <c r="T49" s="4">
        <v>962</v>
      </c>
      <c r="U49" s="4">
        <v>307.5</v>
      </c>
      <c r="V49" s="4">
        <v>34</v>
      </c>
      <c r="W49" s="4">
        <v>621</v>
      </c>
      <c r="X49" s="4">
        <v>177</v>
      </c>
      <c r="Y49" s="4">
        <v>49</v>
      </c>
      <c r="Z49" s="4">
        <v>968</v>
      </c>
      <c r="AA49" s="4">
        <v>484.5</v>
      </c>
      <c r="AB49" s="4">
        <v>43</v>
      </c>
      <c r="AC49" s="4">
        <v>826</v>
      </c>
    </row>
    <row r="50" spans="1:29" x14ac:dyDescent="0.5">
      <c r="A50" s="2" t="s">
        <v>61</v>
      </c>
      <c r="B50" s="3">
        <v>48</v>
      </c>
      <c r="C50" s="4">
        <v>111</v>
      </c>
      <c r="D50" s="4">
        <v>7</v>
      </c>
      <c r="E50" s="4">
        <v>131</v>
      </c>
      <c r="F50" s="4">
        <v>54</v>
      </c>
      <c r="G50" s="4">
        <v>55</v>
      </c>
      <c r="H50" s="4">
        <v>1268</v>
      </c>
      <c r="I50" s="4">
        <v>105</v>
      </c>
      <c r="J50" s="4">
        <v>55</v>
      </c>
      <c r="K50" s="4">
        <v>1172</v>
      </c>
      <c r="L50" s="4">
        <v>43</v>
      </c>
      <c r="M50" s="4">
        <v>49</v>
      </c>
      <c r="N50" s="4">
        <v>1046</v>
      </c>
      <c r="O50" s="4">
        <v>77</v>
      </c>
      <c r="P50" s="4">
        <v>30</v>
      </c>
      <c r="Q50" s="4">
        <v>518</v>
      </c>
      <c r="R50" s="4">
        <v>83</v>
      </c>
      <c r="S50" s="4">
        <v>26</v>
      </c>
      <c r="T50" s="4">
        <v>407</v>
      </c>
      <c r="U50" s="4">
        <v>270</v>
      </c>
      <c r="V50" s="4">
        <v>52</v>
      </c>
      <c r="W50" s="4">
        <v>1061</v>
      </c>
      <c r="X50" s="4">
        <v>203</v>
      </c>
      <c r="Y50" s="4">
        <v>39</v>
      </c>
      <c r="Z50" s="4">
        <v>703</v>
      </c>
      <c r="AA50" s="4">
        <v>473</v>
      </c>
      <c r="AB50" s="4">
        <v>46</v>
      </c>
      <c r="AC50" s="4">
        <v>891</v>
      </c>
    </row>
    <row r="51" spans="1:29" x14ac:dyDescent="0.5">
      <c r="A51" s="2" t="s">
        <v>62</v>
      </c>
      <c r="B51" s="3">
        <v>49</v>
      </c>
      <c r="C51" s="4">
        <v>110</v>
      </c>
      <c r="D51" s="4">
        <v>8</v>
      </c>
      <c r="E51" s="4">
        <v>151</v>
      </c>
      <c r="F51" s="4">
        <v>108</v>
      </c>
      <c r="G51" s="4">
        <v>13</v>
      </c>
      <c r="H51" s="4">
        <v>244</v>
      </c>
      <c r="I51" s="4">
        <v>117</v>
      </c>
      <c r="J51" s="4">
        <v>42</v>
      </c>
      <c r="K51" s="4">
        <v>847</v>
      </c>
      <c r="L51" s="4">
        <v>85</v>
      </c>
      <c r="M51" s="4">
        <v>10</v>
      </c>
      <c r="N51" s="4">
        <v>189</v>
      </c>
      <c r="O51" s="4">
        <v>88</v>
      </c>
      <c r="P51" s="4">
        <v>9</v>
      </c>
      <c r="Q51" s="4">
        <v>158</v>
      </c>
      <c r="R51" s="4">
        <v>89</v>
      </c>
      <c r="S51" s="4">
        <v>13</v>
      </c>
      <c r="T51" s="4">
        <v>191</v>
      </c>
      <c r="U51" s="4">
        <v>335</v>
      </c>
      <c r="V51" s="4">
        <v>14</v>
      </c>
      <c r="W51" s="4">
        <v>295</v>
      </c>
      <c r="X51" s="4">
        <v>262</v>
      </c>
      <c r="Y51" s="4">
        <v>11</v>
      </c>
      <c r="Z51" s="4">
        <v>154</v>
      </c>
      <c r="AA51" s="4">
        <v>597</v>
      </c>
      <c r="AB51" s="4">
        <v>10</v>
      </c>
      <c r="AC51" s="4">
        <v>191</v>
      </c>
    </row>
    <row r="52" spans="1:29" x14ac:dyDescent="0.5">
      <c r="A52" s="2" t="s">
        <v>63</v>
      </c>
      <c r="B52" s="3">
        <v>50</v>
      </c>
      <c r="C52" s="4">
        <v>112</v>
      </c>
      <c r="D52" s="4">
        <v>4</v>
      </c>
      <c r="E52" s="4">
        <v>104</v>
      </c>
      <c r="F52" s="4">
        <v>95</v>
      </c>
      <c r="G52" s="4">
        <v>22</v>
      </c>
      <c r="H52" s="4">
        <v>483</v>
      </c>
      <c r="I52" s="4">
        <v>125</v>
      </c>
      <c r="J52" s="4">
        <v>30</v>
      </c>
      <c r="K52" s="4">
        <v>555</v>
      </c>
      <c r="L52" s="4">
        <v>101</v>
      </c>
      <c r="M52" s="4">
        <v>3</v>
      </c>
      <c r="N52" s="4">
        <v>34</v>
      </c>
      <c r="O52" s="4">
        <v>96</v>
      </c>
      <c r="P52" s="4">
        <v>2</v>
      </c>
      <c r="Q52" s="4">
        <v>11</v>
      </c>
      <c r="R52" s="4">
        <v>98</v>
      </c>
      <c r="S52" s="4">
        <v>1</v>
      </c>
      <c r="T52" s="4">
        <v>2</v>
      </c>
      <c r="U52" s="4">
        <v>332</v>
      </c>
      <c r="V52" s="4">
        <v>16</v>
      </c>
      <c r="W52" s="4">
        <v>328</v>
      </c>
      <c r="X52" s="4">
        <v>295</v>
      </c>
      <c r="Y52" s="4">
        <v>1</v>
      </c>
      <c r="Z52" s="4">
        <v>5</v>
      </c>
      <c r="AA52" s="4">
        <v>627</v>
      </c>
      <c r="AB52" s="4">
        <v>5</v>
      </c>
      <c r="AC52" s="4">
        <v>92</v>
      </c>
    </row>
    <row r="53" spans="1:29" x14ac:dyDescent="0.5">
      <c r="A53" s="2" t="s">
        <v>64</v>
      </c>
      <c r="B53" s="3">
        <v>51</v>
      </c>
      <c r="C53" s="4">
        <v>103</v>
      </c>
      <c r="D53" s="4">
        <v>22</v>
      </c>
      <c r="E53" s="4">
        <v>374</v>
      </c>
      <c r="F53" s="4">
        <v>107</v>
      </c>
      <c r="G53" s="4">
        <v>14</v>
      </c>
      <c r="H53" s="4">
        <v>258</v>
      </c>
      <c r="I53" s="4">
        <v>120</v>
      </c>
      <c r="J53" s="4">
        <v>39</v>
      </c>
      <c r="K53" s="4">
        <v>752</v>
      </c>
      <c r="L53" s="4">
        <v>81</v>
      </c>
      <c r="M53" s="4">
        <v>14</v>
      </c>
      <c r="N53" s="4">
        <v>251</v>
      </c>
      <c r="O53" s="4">
        <v>86</v>
      </c>
      <c r="P53" s="4">
        <v>14</v>
      </c>
      <c r="Q53" s="4">
        <v>220</v>
      </c>
      <c r="R53" s="4">
        <v>97</v>
      </c>
      <c r="S53" s="4">
        <v>3</v>
      </c>
      <c r="T53" s="4">
        <v>10</v>
      </c>
      <c r="U53" s="4">
        <v>330</v>
      </c>
      <c r="V53" s="4">
        <v>20</v>
      </c>
      <c r="W53" s="4">
        <v>349</v>
      </c>
      <c r="X53" s="4">
        <v>264</v>
      </c>
      <c r="Y53" s="4">
        <v>10</v>
      </c>
      <c r="Z53" s="4">
        <v>136</v>
      </c>
      <c r="AA53" s="4">
        <v>594</v>
      </c>
      <c r="AB53" s="4">
        <v>12</v>
      </c>
      <c r="AC53" s="4">
        <v>206</v>
      </c>
    </row>
    <row r="54" spans="1:29" x14ac:dyDescent="0.5">
      <c r="A54" s="2" t="s">
        <v>65</v>
      </c>
      <c r="B54" s="3">
        <v>52</v>
      </c>
      <c r="C54" s="4">
        <v>79</v>
      </c>
      <c r="D54" s="4">
        <v>53</v>
      </c>
      <c r="E54" s="4">
        <v>1288</v>
      </c>
      <c r="F54" s="4">
        <v>53</v>
      </c>
      <c r="G54" s="4">
        <v>56</v>
      </c>
      <c r="H54" s="4">
        <v>1280</v>
      </c>
      <c r="I54" s="4">
        <v>113.5</v>
      </c>
      <c r="J54" s="4">
        <v>47</v>
      </c>
      <c r="K54" s="4">
        <v>959</v>
      </c>
      <c r="L54" s="4">
        <v>41</v>
      </c>
      <c r="M54" s="4">
        <v>52</v>
      </c>
      <c r="N54" s="4">
        <v>1096</v>
      </c>
      <c r="O54" s="4">
        <v>56</v>
      </c>
      <c r="P54" s="4">
        <v>56</v>
      </c>
      <c r="Q54" s="4">
        <v>1107</v>
      </c>
      <c r="R54" s="4">
        <v>69</v>
      </c>
      <c r="S54" s="4">
        <v>49</v>
      </c>
      <c r="T54" s="4">
        <v>855</v>
      </c>
      <c r="U54" s="4">
        <v>245.5</v>
      </c>
      <c r="V54" s="4">
        <v>56</v>
      </c>
      <c r="W54" s="4">
        <v>1265</v>
      </c>
      <c r="X54" s="4">
        <v>166</v>
      </c>
      <c r="Y54" s="4">
        <v>53</v>
      </c>
      <c r="Z54" s="4">
        <v>1071</v>
      </c>
      <c r="AA54" s="4">
        <v>411.5</v>
      </c>
      <c r="AB54" s="4">
        <v>56</v>
      </c>
      <c r="AC54" s="4">
        <v>1174</v>
      </c>
    </row>
    <row r="55" spans="1:29" x14ac:dyDescent="0.5">
      <c r="A55" s="2" t="s">
        <v>66</v>
      </c>
      <c r="B55" s="3">
        <v>53</v>
      </c>
      <c r="C55" s="4">
        <v>105</v>
      </c>
      <c r="D55" s="4">
        <v>16</v>
      </c>
      <c r="E55" s="4">
        <v>307</v>
      </c>
      <c r="F55" s="4">
        <v>104</v>
      </c>
      <c r="G55" s="4">
        <v>15</v>
      </c>
      <c r="H55" s="4">
        <v>314</v>
      </c>
      <c r="I55" s="4">
        <v>129</v>
      </c>
      <c r="J55" s="4">
        <v>19</v>
      </c>
      <c r="K55" s="4">
        <v>425</v>
      </c>
      <c r="L55" s="4">
        <v>51</v>
      </c>
      <c r="M55" s="4">
        <v>40</v>
      </c>
      <c r="N55" s="4">
        <v>883</v>
      </c>
      <c r="O55" s="4">
        <v>82</v>
      </c>
      <c r="P55" s="4">
        <v>20</v>
      </c>
      <c r="Q55" s="4">
        <v>347</v>
      </c>
      <c r="R55" s="4">
        <v>86</v>
      </c>
      <c r="S55" s="4">
        <v>18</v>
      </c>
      <c r="T55" s="4">
        <v>301</v>
      </c>
      <c r="U55" s="4">
        <v>338</v>
      </c>
      <c r="V55" s="4">
        <v>12</v>
      </c>
      <c r="W55" s="4">
        <v>252</v>
      </c>
      <c r="X55" s="4">
        <v>219</v>
      </c>
      <c r="Y55" s="4">
        <v>30</v>
      </c>
      <c r="Z55" s="4">
        <v>545</v>
      </c>
      <c r="AA55" s="4">
        <v>557</v>
      </c>
      <c r="AB55" s="4">
        <v>21</v>
      </c>
      <c r="AC55" s="4">
        <v>393</v>
      </c>
    </row>
    <row r="56" spans="1:29" x14ac:dyDescent="0.5">
      <c r="A56" s="2" t="s">
        <v>67</v>
      </c>
      <c r="B56" s="3">
        <v>54</v>
      </c>
      <c r="C56" s="4">
        <v>61</v>
      </c>
      <c r="D56" s="4">
        <v>59</v>
      </c>
      <c r="E56" s="4">
        <v>1412</v>
      </c>
      <c r="F56" s="4">
        <v>49</v>
      </c>
      <c r="G56" s="4">
        <v>58</v>
      </c>
      <c r="H56" s="4">
        <v>1328</v>
      </c>
      <c r="I56" s="4">
        <v>126</v>
      </c>
      <c r="J56" s="4">
        <v>26</v>
      </c>
      <c r="K56" s="4">
        <v>521</v>
      </c>
      <c r="L56" s="4">
        <v>46</v>
      </c>
      <c r="M56" s="4">
        <v>48</v>
      </c>
      <c r="N56" s="4">
        <v>986</v>
      </c>
      <c r="O56" s="4">
        <v>58</v>
      </c>
      <c r="P56" s="4">
        <v>54</v>
      </c>
      <c r="Q56" s="4">
        <v>1069</v>
      </c>
      <c r="R56" s="4">
        <v>44</v>
      </c>
      <c r="S56" s="4">
        <v>59</v>
      </c>
      <c r="T56" s="4">
        <v>1348</v>
      </c>
      <c r="U56" s="4">
        <v>236</v>
      </c>
      <c r="V56" s="4">
        <v>58</v>
      </c>
      <c r="W56" s="4">
        <v>1314</v>
      </c>
      <c r="X56" s="4">
        <v>148</v>
      </c>
      <c r="Y56" s="4">
        <v>59</v>
      </c>
      <c r="Z56" s="4">
        <v>1207</v>
      </c>
      <c r="AA56" s="4">
        <v>384</v>
      </c>
      <c r="AB56" s="4">
        <v>58</v>
      </c>
      <c r="AC56" s="4">
        <v>1284</v>
      </c>
    </row>
    <row r="57" spans="1:29" x14ac:dyDescent="0.5">
      <c r="A57" s="2" t="s">
        <v>68</v>
      </c>
      <c r="B57" s="3">
        <v>55</v>
      </c>
      <c r="C57" s="4">
        <v>110</v>
      </c>
      <c r="D57" s="4">
        <v>8</v>
      </c>
      <c r="E57" s="4">
        <v>151</v>
      </c>
      <c r="F57" s="4">
        <v>97</v>
      </c>
      <c r="G57" s="4">
        <v>19</v>
      </c>
      <c r="H57" s="4">
        <v>437</v>
      </c>
      <c r="I57" s="4">
        <v>127</v>
      </c>
      <c r="J57" s="4">
        <v>25</v>
      </c>
      <c r="K57" s="4">
        <v>490</v>
      </c>
      <c r="L57" s="4">
        <v>90</v>
      </c>
      <c r="M57" s="4">
        <v>7</v>
      </c>
      <c r="N57" s="4">
        <v>120</v>
      </c>
      <c r="O57" s="4">
        <v>86</v>
      </c>
      <c r="P57" s="4">
        <v>14</v>
      </c>
      <c r="Q57" s="4">
        <v>220</v>
      </c>
      <c r="R57" s="4">
        <v>84</v>
      </c>
      <c r="S57" s="4">
        <v>23</v>
      </c>
      <c r="T57" s="4">
        <v>379</v>
      </c>
      <c r="U57" s="4">
        <v>334</v>
      </c>
      <c r="V57" s="4">
        <v>15</v>
      </c>
      <c r="W57" s="4">
        <v>301</v>
      </c>
      <c r="X57" s="4">
        <v>260</v>
      </c>
      <c r="Y57" s="4">
        <v>12</v>
      </c>
      <c r="Z57" s="4">
        <v>169</v>
      </c>
      <c r="AA57" s="4">
        <v>594</v>
      </c>
      <c r="AB57" s="4">
        <v>12</v>
      </c>
      <c r="AC57" s="4">
        <v>206</v>
      </c>
    </row>
    <row r="58" spans="1:29" x14ac:dyDescent="0.5">
      <c r="A58" s="2" t="s">
        <v>69</v>
      </c>
      <c r="B58" s="3">
        <v>56</v>
      </c>
      <c r="C58" s="4">
        <v>112</v>
      </c>
      <c r="D58" s="4">
        <v>4</v>
      </c>
      <c r="E58" s="4">
        <v>104</v>
      </c>
      <c r="F58" s="4">
        <v>98</v>
      </c>
      <c r="G58" s="4">
        <v>18</v>
      </c>
      <c r="H58" s="4">
        <v>426</v>
      </c>
      <c r="I58" s="4">
        <v>118.5</v>
      </c>
      <c r="J58" s="4">
        <v>41</v>
      </c>
      <c r="K58" s="4">
        <v>803</v>
      </c>
      <c r="L58" s="4">
        <v>59</v>
      </c>
      <c r="M58" s="4">
        <v>34</v>
      </c>
      <c r="N58" s="4">
        <v>709</v>
      </c>
      <c r="O58" s="4">
        <v>74</v>
      </c>
      <c r="P58" s="4">
        <v>35</v>
      </c>
      <c r="Q58" s="4">
        <v>603</v>
      </c>
      <c r="R58" s="4">
        <v>78</v>
      </c>
      <c r="S58" s="4">
        <v>36</v>
      </c>
      <c r="T58" s="4">
        <v>568</v>
      </c>
      <c r="U58" s="4">
        <v>328.5</v>
      </c>
      <c r="V58" s="4">
        <v>22</v>
      </c>
      <c r="W58" s="4">
        <v>365</v>
      </c>
      <c r="X58" s="4">
        <v>211</v>
      </c>
      <c r="Y58" s="4">
        <v>34</v>
      </c>
      <c r="Z58" s="4">
        <v>626</v>
      </c>
      <c r="AA58" s="4">
        <v>539.5</v>
      </c>
      <c r="AB58" s="4">
        <v>29</v>
      </c>
      <c r="AC58" s="4">
        <v>502</v>
      </c>
    </row>
    <row r="59" spans="1:29" x14ac:dyDescent="0.5">
      <c r="A59" s="2" t="s">
        <v>70</v>
      </c>
      <c r="B59" s="3">
        <v>57</v>
      </c>
      <c r="C59" s="4">
        <v>89</v>
      </c>
      <c r="D59" s="4">
        <v>48</v>
      </c>
      <c r="E59" s="4">
        <v>1009</v>
      </c>
      <c r="F59" s="4">
        <v>68</v>
      </c>
      <c r="G59" s="4">
        <v>49</v>
      </c>
      <c r="H59" s="4">
        <v>1044</v>
      </c>
      <c r="I59" s="4">
        <v>123.5</v>
      </c>
      <c r="J59" s="4">
        <v>34</v>
      </c>
      <c r="K59" s="4">
        <v>615</v>
      </c>
      <c r="L59" s="4">
        <v>36</v>
      </c>
      <c r="M59" s="4">
        <v>55</v>
      </c>
      <c r="N59" s="4">
        <v>1206</v>
      </c>
      <c r="O59" s="4">
        <v>62</v>
      </c>
      <c r="P59" s="4">
        <v>51</v>
      </c>
      <c r="Q59" s="4">
        <v>987</v>
      </c>
      <c r="R59" s="4">
        <v>67</v>
      </c>
      <c r="S59" s="4">
        <v>51</v>
      </c>
      <c r="T59" s="4">
        <v>918</v>
      </c>
      <c r="U59" s="4">
        <v>280.5</v>
      </c>
      <c r="V59" s="4">
        <v>48</v>
      </c>
      <c r="W59" s="4">
        <v>962</v>
      </c>
      <c r="X59" s="4">
        <v>165</v>
      </c>
      <c r="Y59" s="4">
        <v>54</v>
      </c>
      <c r="Z59" s="4">
        <v>1080</v>
      </c>
      <c r="AA59" s="4">
        <v>445.5</v>
      </c>
      <c r="AB59" s="4">
        <v>53</v>
      </c>
      <c r="AC59" s="4">
        <v>1037</v>
      </c>
    </row>
    <row r="60" spans="1:29" x14ac:dyDescent="0.5">
      <c r="A60" s="2" t="s">
        <v>71</v>
      </c>
      <c r="B60" s="3">
        <v>58</v>
      </c>
      <c r="C60" s="4">
        <v>101</v>
      </c>
      <c r="D60" s="4">
        <v>24</v>
      </c>
      <c r="E60" s="4">
        <v>457</v>
      </c>
      <c r="F60" s="4">
        <v>55</v>
      </c>
      <c r="G60" s="4">
        <v>54</v>
      </c>
      <c r="H60" s="4">
        <v>1245</v>
      </c>
      <c r="I60" s="4">
        <v>125.5</v>
      </c>
      <c r="J60" s="4">
        <v>29</v>
      </c>
      <c r="K60" s="4">
        <v>541</v>
      </c>
      <c r="L60" s="4">
        <v>62</v>
      </c>
      <c r="M60" s="4">
        <v>29</v>
      </c>
      <c r="N60" s="4">
        <v>637</v>
      </c>
      <c r="O60" s="4">
        <v>66</v>
      </c>
      <c r="P60" s="4">
        <v>47</v>
      </c>
      <c r="Q60" s="4">
        <v>868</v>
      </c>
      <c r="R60" s="4">
        <v>72</v>
      </c>
      <c r="S60" s="4">
        <v>42</v>
      </c>
      <c r="T60" s="4">
        <v>757</v>
      </c>
      <c r="U60" s="4">
        <v>281.5</v>
      </c>
      <c r="V60" s="4">
        <v>46</v>
      </c>
      <c r="W60" s="4">
        <v>950</v>
      </c>
      <c r="X60" s="4">
        <v>200</v>
      </c>
      <c r="Y60" s="4">
        <v>41</v>
      </c>
      <c r="Z60" s="4">
        <v>740</v>
      </c>
      <c r="AA60" s="4">
        <v>481.5</v>
      </c>
      <c r="AB60" s="4">
        <v>44</v>
      </c>
      <c r="AC60" s="4">
        <v>841</v>
      </c>
    </row>
    <row r="61" spans="1:29" x14ac:dyDescent="0.5">
      <c r="A61" s="2" t="s">
        <v>72</v>
      </c>
      <c r="B61" s="3">
        <v>59</v>
      </c>
      <c r="C61" s="4">
        <v>114</v>
      </c>
      <c r="D61" s="4">
        <v>2</v>
      </c>
      <c r="E61" s="4">
        <v>61</v>
      </c>
      <c r="F61" s="4">
        <v>92</v>
      </c>
      <c r="G61" s="4">
        <v>27</v>
      </c>
      <c r="H61" s="4">
        <v>553</v>
      </c>
      <c r="I61" s="4">
        <v>134.5</v>
      </c>
      <c r="J61" s="4">
        <v>9</v>
      </c>
      <c r="K61" s="4">
        <v>231</v>
      </c>
      <c r="L61" s="4">
        <v>50</v>
      </c>
      <c r="M61" s="4">
        <v>42</v>
      </c>
      <c r="N61" s="4">
        <v>902</v>
      </c>
      <c r="O61" s="4">
        <v>74</v>
      </c>
      <c r="P61" s="4">
        <v>35</v>
      </c>
      <c r="Q61" s="4">
        <v>603</v>
      </c>
      <c r="R61" s="4">
        <v>83</v>
      </c>
      <c r="S61" s="4">
        <v>26</v>
      </c>
      <c r="T61" s="4">
        <v>407</v>
      </c>
      <c r="U61" s="4">
        <v>340.5</v>
      </c>
      <c r="V61" s="4">
        <v>9</v>
      </c>
      <c r="W61" s="4">
        <v>226</v>
      </c>
      <c r="X61" s="4">
        <v>207</v>
      </c>
      <c r="Y61" s="4">
        <v>37</v>
      </c>
      <c r="Z61" s="4">
        <v>665</v>
      </c>
      <c r="AA61" s="4">
        <v>547.5</v>
      </c>
      <c r="AB61" s="4">
        <v>24</v>
      </c>
      <c r="AC61" s="4">
        <v>461</v>
      </c>
    </row>
  </sheetData>
  <mergeCells count="11">
    <mergeCell ref="L1:N1"/>
    <mergeCell ref="AA1:AC1"/>
    <mergeCell ref="A1:A2"/>
    <mergeCell ref="B1:B2"/>
    <mergeCell ref="C1:E1"/>
    <mergeCell ref="F1:H1"/>
    <mergeCell ref="I1:K1"/>
    <mergeCell ref="O1:Q1"/>
    <mergeCell ref="R1:T1"/>
    <mergeCell ref="U1:W1"/>
    <mergeCell ref="X1:Z1"/>
  </mergeCells>
  <phoneticPr fontId="1" type="noConversion"/>
  <printOptions horizontalCentered="1" verticalCentered="1"/>
  <pageMargins left="0.19685039370078741" right="0.19685039370078741" top="0.19685039370078741" bottom="0.19685039370078741"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0843-2A9C-410D-860A-3CC8D992FFC7}">
  <sheetPr codeName="Sheet3"/>
  <dimension ref="B2:T29"/>
  <sheetViews>
    <sheetView tabSelected="1" workbookViewId="0"/>
  </sheetViews>
  <sheetFormatPr defaultRowHeight="14.1" x14ac:dyDescent="0.5"/>
  <cols>
    <col min="2" max="2" width="8.796875" style="10"/>
    <col min="3" max="3" width="8.796875" style="10" customWidth="1"/>
  </cols>
  <sheetData>
    <row r="2" spans="2:20" ht="14.1" customHeight="1" x14ac:dyDescent="0.5">
      <c r="B2" s="15" t="s">
        <v>77</v>
      </c>
      <c r="C2" s="15"/>
      <c r="E2" s="16" t="s">
        <v>82</v>
      </c>
      <c r="F2" s="16"/>
      <c r="G2" s="16"/>
      <c r="H2" s="16"/>
      <c r="I2" s="16"/>
      <c r="J2" s="16"/>
      <c r="K2" s="16"/>
      <c r="L2" s="16"/>
      <c r="M2" s="16"/>
      <c r="N2" s="16"/>
      <c r="O2" s="16"/>
      <c r="P2" s="16"/>
      <c r="Q2" s="16"/>
      <c r="R2" s="16"/>
      <c r="S2" s="16"/>
      <c r="T2" s="16"/>
    </row>
    <row r="3" spans="2:20" ht="14.1" customHeight="1" x14ac:dyDescent="0.5">
      <c r="B3" s="10" t="s">
        <v>76</v>
      </c>
      <c r="C3" s="10">
        <v>61</v>
      </c>
      <c r="E3" s="16"/>
      <c r="F3" s="16"/>
      <c r="G3" s="16"/>
      <c r="H3" s="16"/>
      <c r="I3" s="16"/>
      <c r="J3" s="16"/>
      <c r="K3" s="16"/>
      <c r="L3" s="16"/>
      <c r="M3" s="16"/>
      <c r="N3" s="16"/>
      <c r="O3" s="16"/>
      <c r="P3" s="16"/>
      <c r="Q3" s="16"/>
      <c r="R3" s="16"/>
      <c r="S3" s="16"/>
      <c r="T3" s="16"/>
    </row>
    <row r="4" spans="2:20" ht="14.1" customHeight="1" x14ac:dyDescent="0.5">
      <c r="B4" s="10" t="s">
        <v>78</v>
      </c>
      <c r="C4" s="10">
        <v>29</v>
      </c>
      <c r="E4" s="16"/>
      <c r="F4" s="16"/>
      <c r="G4" s="16"/>
      <c r="H4" s="16"/>
      <c r="I4" s="16"/>
      <c r="J4" s="16"/>
      <c r="K4" s="16"/>
      <c r="L4" s="16"/>
      <c r="M4" s="16"/>
      <c r="N4" s="16"/>
      <c r="O4" s="16"/>
      <c r="P4" s="16"/>
      <c r="Q4" s="16"/>
      <c r="R4" s="16"/>
      <c r="S4" s="16"/>
      <c r="T4" s="16"/>
    </row>
    <row r="5" spans="2:20" ht="14.1" customHeight="1" x14ac:dyDescent="0.5">
      <c r="E5" s="16"/>
      <c r="F5" s="16"/>
      <c r="G5" s="16"/>
      <c r="H5" s="16"/>
      <c r="I5" s="16"/>
      <c r="J5" s="16"/>
      <c r="K5" s="16"/>
      <c r="L5" s="16"/>
      <c r="M5" s="16"/>
      <c r="N5" s="16"/>
      <c r="O5" s="16"/>
      <c r="P5" s="16"/>
      <c r="Q5" s="16"/>
      <c r="R5" s="16"/>
      <c r="S5" s="16"/>
      <c r="T5" s="16"/>
    </row>
    <row r="6" spans="2:20" ht="14.1" customHeight="1" x14ac:dyDescent="0.5">
      <c r="B6" s="15" t="s">
        <v>79</v>
      </c>
      <c r="C6" s="15"/>
      <c r="E6" s="16"/>
      <c r="F6" s="16"/>
      <c r="G6" s="16"/>
      <c r="H6" s="16"/>
      <c r="I6" s="16"/>
      <c r="J6" s="16"/>
      <c r="K6" s="16"/>
      <c r="L6" s="16"/>
      <c r="M6" s="16"/>
      <c r="N6" s="16"/>
      <c r="O6" s="16"/>
      <c r="P6" s="16"/>
      <c r="Q6" s="16"/>
      <c r="R6" s="16"/>
      <c r="S6" s="16"/>
      <c r="T6" s="16"/>
    </row>
    <row r="7" spans="2:20" ht="14.1" customHeight="1" x14ac:dyDescent="0.5">
      <c r="B7" s="10" t="s">
        <v>74</v>
      </c>
      <c r="C7" s="10">
        <v>2</v>
      </c>
      <c r="E7" s="16"/>
      <c r="F7" s="16"/>
      <c r="G7" s="16"/>
      <c r="H7" s="16"/>
      <c r="I7" s="16"/>
      <c r="J7" s="16"/>
      <c r="K7" s="16"/>
      <c r="L7" s="16"/>
      <c r="M7" s="16"/>
      <c r="N7" s="16"/>
      <c r="O7" s="16"/>
      <c r="P7" s="16"/>
      <c r="Q7" s="16"/>
      <c r="R7" s="16"/>
      <c r="S7" s="16"/>
      <c r="T7" s="16"/>
    </row>
    <row r="8" spans="2:20" ht="14.1" customHeight="1" x14ac:dyDescent="0.5">
      <c r="B8" s="10" t="s">
        <v>80</v>
      </c>
      <c r="C8" s="10">
        <f>C3-C7</f>
        <v>59</v>
      </c>
      <c r="E8" s="16"/>
      <c r="F8" s="16"/>
      <c r="G8" s="16"/>
      <c r="H8" s="16"/>
      <c r="I8" s="16"/>
      <c r="J8" s="16"/>
      <c r="K8" s="16"/>
      <c r="L8" s="16"/>
      <c r="M8" s="16"/>
      <c r="N8" s="16"/>
      <c r="O8" s="16"/>
      <c r="P8" s="16"/>
      <c r="Q8" s="16"/>
      <c r="R8" s="16"/>
      <c r="S8" s="16"/>
      <c r="T8" s="16"/>
    </row>
    <row r="9" spans="2:20" ht="14.1" customHeight="1" x14ac:dyDescent="0.5">
      <c r="E9" s="16"/>
      <c r="F9" s="16"/>
      <c r="G9" s="16"/>
      <c r="H9" s="16"/>
      <c r="I9" s="16"/>
      <c r="J9" s="16"/>
      <c r="K9" s="16"/>
      <c r="L9" s="16"/>
      <c r="M9" s="16"/>
      <c r="N9" s="16"/>
      <c r="O9" s="16"/>
      <c r="P9" s="16"/>
      <c r="Q9" s="16"/>
      <c r="R9" s="16"/>
      <c r="S9" s="16"/>
      <c r="T9" s="16"/>
    </row>
    <row r="10" spans="2:20" ht="14.1" customHeight="1" x14ac:dyDescent="0.5">
      <c r="B10" s="10" t="s">
        <v>81</v>
      </c>
      <c r="C10" s="10" cm="1">
        <f t="array" aca="1" ref="C10" ca="1">INDIRECT("成绩条!A"&amp;VALUE(控制面板!C7)+2)</f>
        <v>0</v>
      </c>
      <c r="E10" s="16"/>
      <c r="F10" s="16"/>
      <c r="G10" s="16"/>
      <c r="H10" s="16"/>
      <c r="I10" s="16"/>
      <c r="J10" s="16"/>
      <c r="K10" s="16"/>
      <c r="L10" s="16"/>
      <c r="M10" s="16"/>
      <c r="N10" s="16"/>
      <c r="O10" s="16"/>
      <c r="P10" s="16"/>
      <c r="Q10" s="16"/>
      <c r="R10" s="16"/>
      <c r="S10" s="16"/>
      <c r="T10" s="16"/>
    </row>
    <row r="11" spans="2:20" ht="14.1" customHeight="1" x14ac:dyDescent="0.5">
      <c r="E11" s="16"/>
      <c r="F11" s="16"/>
      <c r="G11" s="16"/>
      <c r="H11" s="16"/>
      <c r="I11" s="16"/>
      <c r="J11" s="16"/>
      <c r="K11" s="16"/>
      <c r="L11" s="16"/>
      <c r="M11" s="16"/>
      <c r="N11" s="16"/>
      <c r="O11" s="16"/>
      <c r="P11" s="16"/>
      <c r="Q11" s="16"/>
      <c r="R11" s="16"/>
      <c r="S11" s="16"/>
      <c r="T11" s="16"/>
    </row>
    <row r="12" spans="2:20" ht="14.1" customHeight="1" x14ac:dyDescent="0.5">
      <c r="E12" s="16"/>
      <c r="F12" s="16"/>
      <c r="G12" s="16"/>
      <c r="H12" s="16"/>
      <c r="I12" s="16"/>
      <c r="J12" s="16"/>
      <c r="K12" s="16"/>
      <c r="L12" s="16"/>
      <c r="M12" s="16"/>
      <c r="N12" s="16"/>
      <c r="O12" s="16"/>
      <c r="P12" s="16"/>
      <c r="Q12" s="16"/>
      <c r="R12" s="16"/>
      <c r="S12" s="16"/>
      <c r="T12" s="16"/>
    </row>
    <row r="13" spans="2:20" ht="14.1" customHeight="1" x14ac:dyDescent="0.5">
      <c r="E13" s="16"/>
      <c r="F13" s="16"/>
      <c r="G13" s="16"/>
      <c r="H13" s="16"/>
      <c r="I13" s="16"/>
      <c r="J13" s="16"/>
      <c r="K13" s="16"/>
      <c r="L13" s="16"/>
      <c r="M13" s="16"/>
      <c r="N13" s="16"/>
      <c r="O13" s="16"/>
      <c r="P13" s="16"/>
      <c r="Q13" s="16"/>
      <c r="R13" s="16"/>
      <c r="S13" s="16"/>
      <c r="T13" s="16"/>
    </row>
    <row r="14" spans="2:20" ht="14.1" customHeight="1" x14ac:dyDescent="0.5">
      <c r="E14" s="16"/>
      <c r="F14" s="16"/>
      <c r="G14" s="16"/>
      <c r="H14" s="16"/>
      <c r="I14" s="16"/>
      <c r="J14" s="16"/>
      <c r="K14" s="16"/>
      <c r="L14" s="16"/>
      <c r="M14" s="16"/>
      <c r="N14" s="16"/>
      <c r="O14" s="16"/>
      <c r="P14" s="16"/>
      <c r="Q14" s="16"/>
      <c r="R14" s="16"/>
      <c r="S14" s="16"/>
      <c r="T14" s="16"/>
    </row>
    <row r="15" spans="2:20" ht="14.1" customHeight="1" x14ac:dyDescent="0.5">
      <c r="E15" s="16"/>
      <c r="F15" s="16"/>
      <c r="G15" s="16"/>
      <c r="H15" s="16"/>
      <c r="I15" s="16"/>
      <c r="J15" s="16"/>
      <c r="K15" s="16"/>
      <c r="L15" s="16"/>
      <c r="M15" s="16"/>
      <c r="N15" s="16"/>
      <c r="O15" s="16"/>
      <c r="P15" s="16"/>
      <c r="Q15" s="16"/>
      <c r="R15" s="16"/>
      <c r="S15" s="16"/>
      <c r="T15" s="16"/>
    </row>
    <row r="16" spans="2:20" ht="14.1" customHeight="1" x14ac:dyDescent="0.5">
      <c r="E16" s="16"/>
      <c r="F16" s="16"/>
      <c r="G16" s="16"/>
      <c r="H16" s="16"/>
      <c r="I16" s="16"/>
      <c r="J16" s="16"/>
      <c r="K16" s="16"/>
      <c r="L16" s="16"/>
      <c r="M16" s="16"/>
      <c r="N16" s="16"/>
      <c r="O16" s="16"/>
      <c r="P16" s="16"/>
      <c r="Q16" s="16"/>
      <c r="R16" s="16"/>
      <c r="S16" s="16"/>
      <c r="T16" s="16"/>
    </row>
    <row r="17" spans="5:20" ht="14.1" customHeight="1" x14ac:dyDescent="0.5">
      <c r="E17" s="16"/>
      <c r="F17" s="16"/>
      <c r="G17" s="16"/>
      <c r="H17" s="16"/>
      <c r="I17" s="16"/>
      <c r="J17" s="16"/>
      <c r="K17" s="16"/>
      <c r="L17" s="16"/>
      <c r="M17" s="16"/>
      <c r="N17" s="16"/>
      <c r="O17" s="16"/>
      <c r="P17" s="16"/>
      <c r="Q17" s="16"/>
      <c r="R17" s="16"/>
      <c r="S17" s="16"/>
      <c r="T17" s="16"/>
    </row>
    <row r="18" spans="5:20" ht="14.1" customHeight="1" x14ac:dyDescent="0.5">
      <c r="E18" s="16"/>
      <c r="F18" s="16"/>
      <c r="G18" s="16"/>
      <c r="H18" s="16"/>
      <c r="I18" s="16"/>
      <c r="J18" s="16"/>
      <c r="K18" s="16"/>
      <c r="L18" s="16"/>
      <c r="M18" s="16"/>
      <c r="N18" s="16"/>
      <c r="O18" s="16"/>
      <c r="P18" s="16"/>
      <c r="Q18" s="16"/>
      <c r="R18" s="16"/>
      <c r="S18" s="16"/>
      <c r="T18" s="16"/>
    </row>
    <row r="19" spans="5:20" ht="14.1" customHeight="1" x14ac:dyDescent="0.5">
      <c r="E19" s="16"/>
      <c r="F19" s="16"/>
      <c r="G19" s="16"/>
      <c r="H19" s="16"/>
      <c r="I19" s="16"/>
      <c r="J19" s="16"/>
      <c r="K19" s="16"/>
      <c r="L19" s="16"/>
      <c r="M19" s="16"/>
      <c r="N19" s="16"/>
      <c r="O19" s="16"/>
      <c r="P19" s="16"/>
      <c r="Q19" s="16"/>
      <c r="R19" s="16"/>
      <c r="S19" s="16"/>
      <c r="T19" s="16"/>
    </row>
    <row r="20" spans="5:20" ht="14.1" customHeight="1" x14ac:dyDescent="0.5">
      <c r="E20" s="16"/>
      <c r="F20" s="16"/>
      <c r="G20" s="16"/>
      <c r="H20" s="16"/>
      <c r="I20" s="16"/>
      <c r="J20" s="16"/>
      <c r="K20" s="16"/>
      <c r="L20" s="16"/>
      <c r="M20" s="16"/>
      <c r="N20" s="16"/>
      <c r="O20" s="16"/>
      <c r="P20" s="16"/>
      <c r="Q20" s="16"/>
      <c r="R20" s="16"/>
      <c r="S20" s="16"/>
      <c r="T20" s="16"/>
    </row>
    <row r="21" spans="5:20" ht="14.1" customHeight="1" x14ac:dyDescent="0.5">
      <c r="E21" s="16"/>
      <c r="F21" s="16"/>
      <c r="G21" s="16"/>
      <c r="H21" s="16"/>
      <c r="I21" s="16"/>
      <c r="J21" s="16"/>
      <c r="K21" s="16"/>
      <c r="L21" s="16"/>
      <c r="M21" s="16"/>
      <c r="N21" s="16"/>
      <c r="O21" s="16"/>
      <c r="P21" s="16"/>
      <c r="Q21" s="16"/>
      <c r="R21" s="16"/>
      <c r="S21" s="16"/>
      <c r="T21" s="16"/>
    </row>
    <row r="22" spans="5:20" ht="14.1" customHeight="1" x14ac:dyDescent="0.5">
      <c r="E22" s="16"/>
      <c r="F22" s="16"/>
      <c r="G22" s="16"/>
      <c r="H22" s="16"/>
      <c r="I22" s="16"/>
      <c r="J22" s="16"/>
      <c r="K22" s="16"/>
      <c r="L22" s="16"/>
      <c r="M22" s="16"/>
      <c r="N22" s="16"/>
      <c r="O22" s="16"/>
      <c r="P22" s="16"/>
      <c r="Q22" s="16"/>
      <c r="R22" s="16"/>
      <c r="S22" s="16"/>
      <c r="T22" s="16"/>
    </row>
    <row r="23" spans="5:20" ht="14.1" customHeight="1" x14ac:dyDescent="0.5">
      <c r="E23" s="16"/>
      <c r="F23" s="16"/>
      <c r="G23" s="16"/>
      <c r="H23" s="16"/>
      <c r="I23" s="16"/>
      <c r="J23" s="16"/>
      <c r="K23" s="16"/>
      <c r="L23" s="16"/>
      <c r="M23" s="16"/>
      <c r="N23" s="16"/>
      <c r="O23" s="16"/>
      <c r="P23" s="16"/>
      <c r="Q23" s="16"/>
      <c r="R23" s="16"/>
      <c r="S23" s="16"/>
      <c r="T23" s="16"/>
    </row>
    <row r="24" spans="5:20" ht="14.1" customHeight="1" x14ac:dyDescent="0.5">
      <c r="E24" s="16"/>
      <c r="F24" s="16"/>
      <c r="G24" s="16"/>
      <c r="H24" s="16"/>
      <c r="I24" s="16"/>
      <c r="J24" s="16"/>
      <c r="K24" s="16"/>
      <c r="L24" s="16"/>
      <c r="M24" s="16"/>
      <c r="N24" s="16"/>
      <c r="O24" s="16"/>
      <c r="P24" s="16"/>
      <c r="Q24" s="16"/>
      <c r="R24" s="16"/>
      <c r="S24" s="16"/>
      <c r="T24" s="16"/>
    </row>
    <row r="25" spans="5:20" ht="14.1" customHeight="1" x14ac:dyDescent="0.5">
      <c r="E25" s="16"/>
      <c r="F25" s="16"/>
      <c r="G25" s="16"/>
      <c r="H25" s="16"/>
      <c r="I25" s="16"/>
      <c r="J25" s="16"/>
      <c r="K25" s="16"/>
      <c r="L25" s="16"/>
      <c r="M25" s="16"/>
      <c r="N25" s="16"/>
      <c r="O25" s="16"/>
      <c r="P25" s="16"/>
      <c r="Q25" s="16"/>
      <c r="R25" s="16"/>
      <c r="S25" s="16"/>
      <c r="T25" s="16"/>
    </row>
    <row r="26" spans="5:20" ht="14.1" customHeight="1" x14ac:dyDescent="0.5">
      <c r="E26" s="16"/>
      <c r="F26" s="16"/>
      <c r="G26" s="16"/>
      <c r="H26" s="16"/>
      <c r="I26" s="16"/>
      <c r="J26" s="16"/>
      <c r="K26" s="16"/>
      <c r="L26" s="16"/>
      <c r="M26" s="16"/>
      <c r="N26" s="16"/>
      <c r="O26" s="16"/>
      <c r="P26" s="16"/>
      <c r="Q26" s="16"/>
      <c r="R26" s="16"/>
      <c r="S26" s="16"/>
      <c r="T26" s="16"/>
    </row>
    <row r="27" spans="5:20" ht="14.1" customHeight="1" x14ac:dyDescent="0.5">
      <c r="E27" s="16"/>
      <c r="F27" s="16"/>
      <c r="G27" s="16"/>
      <c r="H27" s="16"/>
      <c r="I27" s="16"/>
      <c r="J27" s="16"/>
      <c r="K27" s="16"/>
      <c r="L27" s="16"/>
      <c r="M27" s="16"/>
      <c r="N27" s="16"/>
      <c r="O27" s="16"/>
      <c r="P27" s="16"/>
      <c r="Q27" s="16"/>
      <c r="R27" s="16"/>
      <c r="S27" s="16"/>
      <c r="T27" s="16"/>
    </row>
    <row r="28" spans="5:20" ht="14.1" customHeight="1" x14ac:dyDescent="0.5">
      <c r="E28" s="16"/>
      <c r="F28" s="16"/>
      <c r="G28" s="16"/>
      <c r="H28" s="16"/>
      <c r="I28" s="16"/>
      <c r="J28" s="16"/>
      <c r="K28" s="16"/>
      <c r="L28" s="16"/>
      <c r="M28" s="16"/>
      <c r="N28" s="16"/>
      <c r="O28" s="16"/>
      <c r="P28" s="16"/>
      <c r="Q28" s="16"/>
      <c r="R28" s="16"/>
      <c r="S28" s="16"/>
      <c r="T28" s="16"/>
    </row>
    <row r="29" spans="5:20" x14ac:dyDescent="0.5">
      <c r="E29" s="16"/>
      <c r="F29" s="16"/>
      <c r="G29" s="16"/>
      <c r="H29" s="16"/>
      <c r="I29" s="16"/>
      <c r="J29" s="16"/>
      <c r="K29" s="16"/>
      <c r="L29" s="16"/>
      <c r="M29" s="16"/>
      <c r="N29" s="16"/>
      <c r="O29" s="16"/>
      <c r="P29" s="16"/>
      <c r="Q29" s="16"/>
      <c r="R29" s="16"/>
      <c r="S29" s="16"/>
      <c r="T29" s="16"/>
    </row>
  </sheetData>
  <mergeCells count="3">
    <mergeCell ref="B2:C2"/>
    <mergeCell ref="B6:C6"/>
    <mergeCell ref="E2:T29"/>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94D-1284-4F2C-91A5-1A90A918C8B6}">
  <sheetPr codeName="Sheet5"/>
  <dimension ref="A1"/>
  <sheetViews>
    <sheetView workbookViewId="0">
      <selection activeCell="A8" sqref="A8 B16 A24 B32 A40 B48 A56 B64 A72 B80 A88 B96 A104 B112 A120 B128 A136 B144 A152 B160 A168 B176 A184 B192 A200 B208 A216 B224 A232 B240 A248 B256 A264 B272 A280 B288 A296 B304 A312 B320 A328 B336 A344 B352 A360 B368 A376 B384 A392 B400 A408 B416 A424 B432 A440 B448 A456 B464 A472"/>
    </sheetView>
  </sheetViews>
  <sheetFormatPr defaultRowHeight="14.1" x14ac:dyDescent="0.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36D8D-E159-4C2E-A356-05FB019848FA}">
  <sheetPr codeName="Sheet6"/>
  <dimension ref="A1"/>
  <sheetViews>
    <sheetView workbookViewId="0">
      <selection activeCell="C1" sqref="C1:AE531"/>
    </sheetView>
  </sheetViews>
  <sheetFormatPr defaultRowHeight="14.1" x14ac:dyDescent="0.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导入数据</vt:lpstr>
      <vt:lpstr>控制面板</vt:lpstr>
      <vt:lpstr>缓存</vt:lpstr>
      <vt:lpstr>成绩条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欧纪阳</dc:creator>
  <cp:lastModifiedBy>欧纪阳</cp:lastModifiedBy>
  <cp:lastPrinted>2020-06-11T14:24:46Z</cp:lastPrinted>
  <dcterms:created xsi:type="dcterms:W3CDTF">2020-06-11T11:16:44Z</dcterms:created>
  <dcterms:modified xsi:type="dcterms:W3CDTF">2020-06-12T13:09:27Z</dcterms:modified>
</cp:coreProperties>
</file>